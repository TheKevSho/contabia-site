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666666"/>
      <sz val="9"/>
    </font>
    <font>
      <name val="Arial"/>
      <b val="1"/>
      <sz val="10"/>
    </font>
    <font>
      <name val="Arial"/>
      <i val="1"/>
      <color rgb="00999999"/>
      <sz val="8"/>
    </font>
    <font>
      <name val="Arial"/>
      <i val="1"/>
      <color rgb="00999999"/>
      <sz val="7"/>
    </font>
    <font>
      <name val="Arial"/>
      <b val="1"/>
      <color rgb="00FFFFFF"/>
      <sz val="11"/>
    </font>
    <font>
      <name val="Arial"/>
      <b val="1"/>
      <i val="1"/>
      <color rgb="004A5568"/>
      <sz val="9"/>
    </font>
    <font>
      <name val="Arial"/>
      <color rgb="00888888"/>
      <sz val="9"/>
    </font>
    <font>
      <name val="Arial"/>
      <i val="1"/>
      <color rgb="005B8DB8"/>
      <sz val="10"/>
    </font>
    <font>
      <name val="Arial"/>
      <i val="1"/>
      <color rgb="002D5F8A"/>
      <sz val="10"/>
    </font>
    <font>
      <name val="Arial"/>
      <color rgb="000000FF"/>
      <sz val="10"/>
    </font>
    <font>
      <name val="Arial"/>
      <i val="1"/>
      <color rgb="00A93226"/>
      <sz val="9"/>
    </font>
    <font>
      <name val="Arial"/>
      <b val="1"/>
      <color rgb="001B2A4A"/>
      <sz val="10"/>
    </font>
    <font>
      <name val="Arial"/>
      <b val="1"/>
      <color rgb="00A93226"/>
      <sz val="10"/>
    </font>
    <font>
      <name val="Arial"/>
      <i val="1"/>
      <color rgb="00008000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DEBEB"/>
      </patternFill>
    </fill>
    <fill>
      <patternFill patternType="solid">
        <fgColor rgb="002D5F8A"/>
      </patternFill>
    </fill>
    <fill>
      <patternFill patternType="solid">
        <fgColor rgb="00E8E2DB"/>
      </patternFill>
    </fill>
    <fill>
      <patternFill patternType="solid">
        <fgColor rgb="00D4A04A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top style="thin">
        <color rgb="00CCCCCC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textRotation="90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2" borderId="0" pivotButton="0" quotePrefix="0" xfId="0"/>
    <xf numFmtId="0" fontId="0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applyAlignment="1" pivotButton="0" quotePrefix="0" xfId="0">
      <alignment indent="2"/>
    </xf>
    <xf numFmtId="164" fontId="0" fillId="0" borderId="0" pivotButton="0" quotePrefix="0" xfId="0"/>
    <xf numFmtId="164" fontId="11" fillId="0" borderId="0" pivotButton="0" quotePrefix="0" xfId="0"/>
    <xf numFmtId="164" fontId="12" fillId="0" borderId="0" pivotButton="0" quotePrefix="0" xfId="0"/>
    <xf numFmtId="0" fontId="3" fillId="0" borderId="0" applyAlignment="1" pivotButton="0" quotePrefix="0" xfId="0">
      <alignment indent="3"/>
    </xf>
    <xf numFmtId="164" fontId="1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0" fontId="3" fillId="0" borderId="0" applyAlignment="1" pivotButton="0" quotePrefix="0" xfId="0">
      <alignment indent="1"/>
    </xf>
    <xf numFmtId="164" fontId="14" fillId="4" borderId="1" pivotButton="0" quotePrefix="0" xfId="0"/>
    <xf numFmtId="0" fontId="8" fillId="5" borderId="0" pivotButton="0" quotePrefix="0" xfId="0"/>
    <xf numFmtId="164" fontId="8" fillId="5" borderId="0" pivotButton="0" quotePrefix="0" xfId="0"/>
    <xf numFmtId="0" fontId="15" fillId="6" borderId="0" pivotButton="0" quotePrefix="0" xfId="0"/>
    <xf numFmtId="0" fontId="0" fillId="6" borderId="0" pivotButton="0" quotePrefix="0" xfId="0"/>
    <xf numFmtId="0" fontId="15" fillId="7" borderId="0" pivotButton="0" quotePrefix="0" xfId="0"/>
    <xf numFmtId="164" fontId="15" fillId="7" borderId="0" pivotButton="0" quotePrefix="0" xfId="0"/>
    <xf numFmtId="165" fontId="0" fillId="0" borderId="0" pivotButton="0" quotePrefix="0" xfId="0"/>
    <xf numFmtId="0" fontId="17" fillId="0" borderId="0" pivotButton="0" quotePrefix="0" xfId="0"/>
    <xf numFmtId="0" fontId="8" fillId="8" borderId="0" pivotButton="0" quotePrefix="0" xfId="0"/>
    <xf numFmtId="0" fontId="0" fillId="8" borderId="0" pivotButton="0" quotePrefix="0" xfId="0"/>
    <xf numFmtId="164" fontId="1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ContabIA</author>
  </authors>
  <commentList>
    <comment ref="C16" authorId="0" shapeId="0">
      <text>
        <t>Timing quincenal (Ago-Oct 2026): la nómina se contabiliza mensual a fin de mes en Alegra (Sueldos cta 510506, verificado 2026-08-29), así que el pago mensual de nómina se ubica en la 2da quincena (16-31), no 50/50. Prima (Jun/Dic) y cesantías (Feb) caen fuera de la ventana quincenal.</t>
      </text>
    </comment>
    <comment ref="C17" authorId="0" shapeId="0">
      <text>
        <t>Timing quincenal (Ago-Oct 2026): la retención en la fuente (cta 2365) se paga a la DIAN la 1ra quincena del mes siguiente, así que el movimiento de caja tributario se ubica en la 1ra quincena (1-15). El IVA NO se remite (posición de servicio excluido Art. 476 — ver contingencias en Vista Sombra), no es un hit quincenal programado.</t>
      </text>
    </comment>
    <comment ref="C28" authorId="0" shapeId="0">
      <text>
        <t>Caja real de Alegra, Feb-Jul. El método indirecto NO cuadra exacto con la caja real en meses con reclasificaciones retroactivas de Edwin (PP&amp;E, patrimonio, CxC/anticipos) — ver fila de brecha. Las proyecciones (Ago-2026 en adelante) usan la caja final calculada abajo.</t>
      </text>
    </comment>
    <comment ref="C36" authorId="0" shapeId="0">
      <text>
        <t>Ene: paquete de cierre. Feb-Jun: diferencias de balanza de prueba de Alegra. Jul: Estado de Resultados granular. Desglose por segmento (daytrips/charters/bar/buceo) pendiente — se puede extraer en vivo de Alegra ventas-por-ítem.</t>
      </text>
    </comment>
    <comment ref="C42" authorId="0" shapeId="0">
      <text>
        <t>v5: desglosado por mes (reconcilia exacto con el ingreso neto confirmado usado antes).</t>
      </text>
    </comment>
    <comment ref="C47" authorId="0" shapeId="0">
      <text>
        <t>v5: ENE corregido a -52,717,548 (era -52,717,848, el error de 300 COP en HANDOFF §4.4).</t>
      </text>
    </comment>
    <comment ref="C53" authorId="0" shapeId="0">
      <text>
        <t>La nómina se contabiliza mensual a fin de mes (Alegra Sueldos cta 510506). En la vista quincenal cae en la 2da quincena (16-31), no 50/50.</t>
      </text>
    </comment>
    <comment ref="C76" authorId="0" shapeId="0">
      <text>
        <t>Salto Ene(163.3M)-&gt;Feb-Jun(223.3M)-&gt;Jul(228.4M): ajustes retroactivos reales de Edwin en Alegra confirmados — se usa tal cual.</t>
      </text>
    </comment>
    <comment ref="C80" authorId="0" shapeId="0">
      <text>
        <t>RECLASIFICADO 2026-08-29: la cta 131015 son anticipos de utilidades/dividendos a Kevin+Nicolás (46,081,000 + 41,081,000 = 87,162,000), cancelada por asiento retroactivo. Ver Vista Sombra §4C.</t>
      </text>
    </comment>
    <comment ref="C83" authorId="0" shapeId="0">
      <text>
        <t>Vinculado a la caja final real de la Sección 1 — cuadra con el flujo de efectivo.</t>
      </text>
    </comment>
    <comment ref="C98" authorId="0" shapeId="0">
      <text>
        <t>Jul: reclase real confirmado de Edwin de anticipos de pago del barco — cuadra con Alegra.</t>
      </text>
    </comment>
    <comment ref="C100" authorId="0" shapeId="0">
      <text>
        <t>Cuadra cada mes al patrimonio total real reportado por Alegra (patrimonio_real).</t>
      </text>
    </comment>
    <comment ref="C110" authorId="0" shapeId="0">
      <text>
        <t>VERIFICADO 2026-08-29: 58 pagos etiquetados 'barco' suman COP 399,986,698 (incl. intereses 10,095,469), pago final 2026-02-02 = COP 67,606,000. A TRM histórica real = USD 98,131.59.</t>
      </text>
    </comment>
    <comment ref="C116" authorId="0" shapeId="0">
      <text>
        <t>Al entrar a Ene-2026: 5,010,429 (0 en 2024; +740,286 Ene-Jun 2025; +4,270,143 Oct-Dic 2025). Ver ledger1_retroactive.py.</t>
      </text>
    </comment>
    <comment ref="C117" authorId="0" shapeId="0">
      <text>
        <t>Ene-2026 en adelante 1,552,353/mes, plano hasta 2027 según Kevin ('dos alzas después, para mí'). Quincena = mitad.</t>
      </text>
    </comment>
    <comment ref="C118" authorId="0" shapeId="0">
      <text>
        <t>Ene: abono del barco (no comp). Feb: pago final del barco. Mar/Jun: sin pago (brecha real). Abr/May/Jul: facturas 'documento soporte / otras asesorías'. Ago en adelante proyectado al promedio móvil de 7 meses.</t>
      </text>
    </comment>
    <comment ref="C128" authorId="0" shapeId="0">
      <text>
        <t>Acumulado Jul-2026 de §4B — un libro empresa/comp, no un número entre socios.</t>
      </text>
    </comment>
    <comment ref="C129" authorId="0" shapeId="0">
      <text>
        <t>De §4C — un libro entre socios.</t>
      </text>
    </comment>
    <comment ref="C133" authorId="0" shapeId="0">
      <text>
        <t>Estimación de exposición vigente, no un cargo mensual recurrente. Informativo.</t>
      </text>
    </comment>
    <comment ref="C134" authorId="0" shapeId="0">
      <text>
        <t>Marcador para la exposición modelada si se cuestiona la posición de servicio excluido de IVA (Art. 476) de Sonata. Pendiente de cuantificar.</t>
      </text>
    </comment>
    <comment ref="C135" authorId="0" shapeId="0">
      <text>
        <t>Marcador para la exposición de prestaciones de tripulación bajo un escenario de contrato formal. Pendiente de cuantificar.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B1:AD13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5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B1" s="1" t="inlineStr">
        <is>
          <t>SONATA MAS S.A.S. — Dashboard Financiero (Tayrona Sailing)</t>
        </is>
      </c>
    </row>
    <row r="2">
      <c r="B2" s="2" t="inlineStr">
        <is>
          <t>Cifras en COP · 2026 real (Ene-Jul) + proyección quincenal/mensual hasta 2027 · Cash is king: posición de caja arriba, resultados y balance en medio, vista sombra al final</t>
        </is>
      </c>
    </row>
    <row r="3">
      <c r="B3" s="2" t="inlineStr">
        <is>
          <t>NIT 901.528.910-3 · Fuente: paquete de cierre + balanzas de prueba mensuales de Alegra (en vivo) + client-profile.md · Preparado por ContabIA · +/- expande o colapsa el detalle</t>
        </is>
      </c>
    </row>
    <row r="5">
      <c r="C5" s="3" t="inlineStr"/>
      <c r="D5" s="4" t="n">
        <v>2026</v>
      </c>
      <c r="S5" s="4" t="n">
        <v>2027</v>
      </c>
    </row>
    <row r="6">
      <c r="B6" s="5" t="inlineStr">
        <is>
          <t>Cód</t>
        </is>
      </c>
      <c r="C6" s="5" t="inlineStr">
        <is>
          <t>Concepto</t>
        </is>
      </c>
      <c r="D6" s="6" t="inlineStr">
        <is>
          <t>Ene</t>
        </is>
      </c>
      <c r="E6" s="6" t="inlineStr">
        <is>
          <t>Feb</t>
        </is>
      </c>
      <c r="F6" s="6" t="inlineStr">
        <is>
          <t>Mar</t>
        </is>
      </c>
      <c r="G6" s="6" t="inlineStr">
        <is>
          <t>Abr</t>
        </is>
      </c>
      <c r="H6" s="6" t="inlineStr">
        <is>
          <t>May</t>
        </is>
      </c>
      <c r="I6" s="6" t="inlineStr">
        <is>
          <t>Jun</t>
        </is>
      </c>
      <c r="J6" s="6" t="inlineStr">
        <is>
          <t>Jul</t>
        </is>
      </c>
      <c r="K6" s="7" t="inlineStr">
        <is>
          <t>Ago 1-15</t>
        </is>
      </c>
      <c r="L6" s="7" t="inlineStr">
        <is>
          <t>Ago 16-31</t>
        </is>
      </c>
      <c r="M6" s="7" t="inlineStr">
        <is>
          <t>Sep 1-15</t>
        </is>
      </c>
      <c r="N6" s="7" t="inlineStr">
        <is>
          <t>Sep 16-30</t>
        </is>
      </c>
      <c r="O6" s="7" t="inlineStr">
        <is>
          <t>Oct 1-15</t>
        </is>
      </c>
      <c r="P6" s="7" t="inlineStr">
        <is>
          <t>Oct 16-31</t>
        </is>
      </c>
      <c r="Q6" s="6" t="inlineStr">
        <is>
          <t>Nov</t>
        </is>
      </c>
      <c r="R6" s="6" t="inlineStr">
        <is>
          <t>Dic</t>
        </is>
      </c>
      <c r="S6" s="6" t="inlineStr">
        <is>
          <t>Ene 27</t>
        </is>
      </c>
      <c r="T6" s="6" t="inlineStr">
        <is>
          <t>Feb 27</t>
        </is>
      </c>
      <c r="U6" s="6" t="inlineStr">
        <is>
          <t>Mar 27</t>
        </is>
      </c>
      <c r="V6" s="6" t="inlineStr">
        <is>
          <t>Abr 27</t>
        </is>
      </c>
      <c r="W6" s="6" t="inlineStr">
        <is>
          <t>May 27</t>
        </is>
      </c>
      <c r="X6" s="6" t="inlineStr">
        <is>
          <t>Jun 27</t>
        </is>
      </c>
      <c r="Y6" s="6" t="inlineStr">
        <is>
          <t>Jul 27</t>
        </is>
      </c>
      <c r="Z6" s="6" t="inlineStr">
        <is>
          <t>Ago 27</t>
        </is>
      </c>
      <c r="AA6" s="6" t="inlineStr">
        <is>
          <t>Sep 27</t>
        </is>
      </c>
      <c r="AB6" s="6" t="inlineStr">
        <is>
          <t>Oct 27</t>
        </is>
      </c>
      <c r="AC6" s="6" t="inlineStr">
        <is>
          <t>Nov 27</t>
        </is>
      </c>
      <c r="AD6" s="6" t="inlineStr">
        <is>
          <t>Dic 27</t>
        </is>
      </c>
    </row>
    <row r="7">
      <c r="C7" s="8" t="inlineStr">
        <is>
          <t>Estado</t>
        </is>
      </c>
      <c r="D7" s="9" t="inlineStr">
        <is>
          <t>REAL</t>
        </is>
      </c>
      <c r="E7" s="9" t="inlineStr">
        <is>
          <t>REAL</t>
        </is>
      </c>
      <c r="F7" s="9" t="inlineStr">
        <is>
          <t>REAL</t>
        </is>
      </c>
      <c r="G7" s="9" t="inlineStr">
        <is>
          <t>REAL</t>
        </is>
      </c>
      <c r="H7" s="9" t="inlineStr">
        <is>
          <t>REAL</t>
        </is>
      </c>
      <c r="I7" s="9" t="inlineStr">
        <is>
          <t>REAL</t>
        </is>
      </c>
      <c r="J7" s="9" t="inlineStr">
        <is>
          <t>REAL</t>
        </is>
      </c>
      <c r="K7" s="9" t="inlineStr">
        <is>
          <t>QUINCENA</t>
        </is>
      </c>
      <c r="L7" s="9" t="inlineStr">
        <is>
          <t>QUINCENA</t>
        </is>
      </c>
      <c r="M7" s="9" t="inlineStr">
        <is>
          <t>QUINCENA</t>
        </is>
      </c>
      <c r="N7" s="9" t="inlineStr">
        <is>
          <t>QUINCENA</t>
        </is>
      </c>
      <c r="O7" s="9" t="inlineStr">
        <is>
          <t>QUINCENA</t>
        </is>
      </c>
      <c r="P7" s="9" t="inlineStr">
        <is>
          <t>QUINCENA</t>
        </is>
      </c>
      <c r="Q7" s="9" t="inlineStr">
        <is>
          <t>PROY.</t>
        </is>
      </c>
      <c r="R7" s="9" t="inlineStr">
        <is>
          <t>PROY.</t>
        </is>
      </c>
      <c r="S7" s="9" t="inlineStr">
        <is>
          <t>PROY.</t>
        </is>
      </c>
      <c r="T7" s="9" t="inlineStr">
        <is>
          <t>PROY.</t>
        </is>
      </c>
      <c r="U7" s="9" t="inlineStr">
        <is>
          <t>PROY.</t>
        </is>
      </c>
      <c r="V7" s="9" t="inlineStr">
        <is>
          <t>PROY.</t>
        </is>
      </c>
      <c r="W7" s="9" t="inlineStr">
        <is>
          <t>PROY.</t>
        </is>
      </c>
      <c r="X7" s="9" t="inlineStr">
        <is>
          <t>PROY.</t>
        </is>
      </c>
      <c r="Y7" s="9" t="inlineStr">
        <is>
          <t>PROY.</t>
        </is>
      </c>
      <c r="Z7" s="9" t="inlineStr">
        <is>
          <t>PROY.</t>
        </is>
      </c>
      <c r="AA7" s="9" t="inlineStr">
        <is>
          <t>PROY.</t>
        </is>
      </c>
      <c r="AB7" s="9" t="inlineStr">
        <is>
          <t>PROY.</t>
        </is>
      </c>
      <c r="AC7" s="9" t="inlineStr">
        <is>
          <t>PROY.</t>
        </is>
      </c>
      <c r="AD7" s="9" t="inlineStr">
        <is>
          <t>PROY.</t>
        </is>
      </c>
    </row>
    <row r="8">
      <c r="B8" s="10" t="inlineStr"/>
      <c r="C8" s="10" t="inlineStr">
        <is>
          <t>1. POSICIÓN DE CAJA — Flujo de Efectivo (indirecto, con caja REAL de Alegra)  ·  CASH IS KING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</row>
    <row r="9" outlineLevel="1">
      <c r="C9" s="12" t="inlineStr">
        <is>
          <t>Actividades de operación</t>
        </is>
      </c>
    </row>
    <row r="10" outlineLevel="2">
      <c r="B10" s="13" t="inlineStr"/>
      <c r="C10" s="14" t="inlineStr">
        <is>
          <t>Utilidad neta del período (ref. Estado de Resultados, abajo)</t>
        </is>
      </c>
      <c r="D10" s="15">
        <f>D68</f>
        <v/>
      </c>
      <c r="E10" s="15">
        <f>E68</f>
        <v/>
      </c>
      <c r="F10" s="15">
        <f>F68</f>
        <v/>
      </c>
      <c r="G10" s="15">
        <f>G68</f>
        <v/>
      </c>
      <c r="H10" s="15">
        <f>H68</f>
        <v/>
      </c>
      <c r="I10" s="15">
        <f>I68</f>
        <v/>
      </c>
      <c r="J10" s="15">
        <f>J68</f>
        <v/>
      </c>
      <c r="K10" s="16">
        <f>K68</f>
        <v/>
      </c>
      <c r="L10" s="16">
        <f>L68</f>
        <v/>
      </c>
      <c r="M10" s="16">
        <f>M68</f>
        <v/>
      </c>
      <c r="N10" s="16">
        <f>N68</f>
        <v/>
      </c>
      <c r="O10" s="16">
        <f>O68</f>
        <v/>
      </c>
      <c r="P10" s="16">
        <f>P68</f>
        <v/>
      </c>
      <c r="Q10" s="17">
        <f>Q68</f>
        <v/>
      </c>
      <c r="R10" s="17">
        <f>R68</f>
        <v/>
      </c>
      <c r="S10" s="17">
        <f>S68</f>
        <v/>
      </c>
      <c r="T10" s="17">
        <f>T68</f>
        <v/>
      </c>
      <c r="U10" s="17">
        <f>U68</f>
        <v/>
      </c>
      <c r="V10" s="17">
        <f>V68</f>
        <v/>
      </c>
      <c r="W10" s="17">
        <f>W68</f>
        <v/>
      </c>
      <c r="X10" s="17">
        <f>X68</f>
        <v/>
      </c>
      <c r="Y10" s="17">
        <f>Y68</f>
        <v/>
      </c>
      <c r="Z10" s="17">
        <f>Z68</f>
        <v/>
      </c>
      <c r="AA10" s="17">
        <f>AA68</f>
        <v/>
      </c>
      <c r="AB10" s="17">
        <f>AB68</f>
        <v/>
      </c>
      <c r="AC10" s="17">
        <f>AC68</f>
        <v/>
      </c>
      <c r="AD10" s="17">
        <f>AD68</f>
        <v/>
      </c>
    </row>
    <row r="11" outlineLevel="2">
      <c r="B11" s="13" t="inlineStr"/>
      <c r="C11" s="14" t="inlineStr">
        <is>
          <t>(+) Depreciación y amortización (partida no monetaria)</t>
        </is>
      </c>
      <c r="D11" s="15">
        <f>-D60</f>
        <v/>
      </c>
      <c r="E11" s="15">
        <f>-E60</f>
        <v/>
      </c>
      <c r="F11" s="15">
        <f>-F60</f>
        <v/>
      </c>
      <c r="G11" s="15">
        <f>-G60</f>
        <v/>
      </c>
      <c r="H11" s="15">
        <f>-H60</f>
        <v/>
      </c>
      <c r="I11" s="15">
        <f>-I60</f>
        <v/>
      </c>
      <c r="J11" s="15">
        <f>-J60</f>
        <v/>
      </c>
      <c r="K11" s="16">
        <f>-K60</f>
        <v/>
      </c>
      <c r="L11" s="16">
        <f>-L60</f>
        <v/>
      </c>
      <c r="M11" s="16">
        <f>-M60</f>
        <v/>
      </c>
      <c r="N11" s="16">
        <f>-N60</f>
        <v/>
      </c>
      <c r="O11" s="16">
        <f>-O60</f>
        <v/>
      </c>
      <c r="P11" s="16">
        <f>-P60</f>
        <v/>
      </c>
      <c r="Q11" s="17">
        <f>-Q60</f>
        <v/>
      </c>
      <c r="R11" s="17">
        <f>-R60</f>
        <v/>
      </c>
      <c r="S11" s="17">
        <f>-S60</f>
        <v/>
      </c>
      <c r="T11" s="17">
        <f>-T60</f>
        <v/>
      </c>
      <c r="U11" s="17">
        <f>-U60</f>
        <v/>
      </c>
      <c r="V11" s="17">
        <f>-V60</f>
        <v/>
      </c>
      <c r="W11" s="17">
        <f>-W60</f>
        <v/>
      </c>
      <c r="X11" s="17">
        <f>-X60</f>
        <v/>
      </c>
      <c r="Y11" s="17">
        <f>-Y60</f>
        <v/>
      </c>
      <c r="Z11" s="17">
        <f>-Z60</f>
        <v/>
      </c>
      <c r="AA11" s="17">
        <f>-AA60</f>
        <v/>
      </c>
      <c r="AB11" s="17">
        <f>-AB60</f>
        <v/>
      </c>
      <c r="AC11" s="17">
        <f>-AC60</f>
        <v/>
      </c>
      <c r="AD11" s="17">
        <f>-AD60</f>
        <v/>
      </c>
    </row>
    <row r="12" outlineLevel="2">
      <c r="C12" s="12" t="inlineStr">
        <is>
          <t>Cambios en el capital de trabajo</t>
        </is>
      </c>
    </row>
    <row r="13" outlineLevel="3">
      <c r="B13" s="13" t="inlineStr">
        <is>
          <t>1310/13</t>
        </is>
      </c>
      <c r="C13" s="18" t="inlineStr">
        <is>
          <t>(Aum.)/dism. deudores comerciales y otras CxC</t>
        </is>
      </c>
      <c r="D13" s="19" t="n">
        <v>-15258460</v>
      </c>
      <c r="E13" s="19" t="n">
        <v>7437175</v>
      </c>
      <c r="F13" s="19" t="n">
        <v>3972885</v>
      </c>
      <c r="G13" s="19" t="n">
        <v>23064179</v>
      </c>
      <c r="H13" s="19" t="n">
        <v>4911510</v>
      </c>
      <c r="I13" s="19" t="n">
        <v>-212279</v>
      </c>
      <c r="J13" s="19" t="n">
        <v>345113692</v>
      </c>
      <c r="K13" s="16" t="n">
        <v>26359193</v>
      </c>
      <c r="L13" s="16" t="n">
        <v>26359193</v>
      </c>
      <c r="M13" s="16" t="n">
        <v>26359193</v>
      </c>
      <c r="N13" s="16" t="n">
        <v>26359193</v>
      </c>
      <c r="O13" s="16" t="n">
        <v>26359193</v>
      </c>
      <c r="P13" s="16" t="n">
        <v>26359193</v>
      </c>
      <c r="Q13" s="17" t="n">
        <v>52718386</v>
      </c>
      <c r="R13" s="17" t="n">
        <v>52718386</v>
      </c>
      <c r="S13" s="17" t="n">
        <v>52718386</v>
      </c>
      <c r="T13" s="17" t="n">
        <v>52718386</v>
      </c>
      <c r="U13" s="17" t="n">
        <v>52718386</v>
      </c>
      <c r="V13" s="17" t="n">
        <v>52718386</v>
      </c>
      <c r="W13" s="17" t="n">
        <v>52718386</v>
      </c>
      <c r="X13" s="17" t="n">
        <v>52718386</v>
      </c>
      <c r="Y13" s="17" t="n">
        <v>52718386</v>
      </c>
      <c r="Z13" s="17" t="n">
        <v>52718386</v>
      </c>
      <c r="AA13" s="17" t="n">
        <v>52718386</v>
      </c>
      <c r="AB13" s="17" t="n">
        <v>52718386</v>
      </c>
      <c r="AC13" s="17" t="n">
        <v>52718386</v>
      </c>
      <c r="AD13" s="17" t="n">
        <v>52718386</v>
      </c>
    </row>
    <row r="14" outlineLevel="3">
      <c r="B14" s="13" t="inlineStr">
        <is>
          <t>1435</t>
        </is>
      </c>
      <c r="C14" s="18" t="inlineStr">
        <is>
          <t>(Aum.)/dism. inventarios</t>
        </is>
      </c>
      <c r="D14" s="19" t="n">
        <v>127564</v>
      </c>
      <c r="E14" s="19" t="n">
        <v>728375</v>
      </c>
      <c r="F14" s="19" t="n">
        <v>-532148</v>
      </c>
      <c r="G14" s="19" t="n">
        <v>-721200</v>
      </c>
      <c r="H14" s="19" t="n">
        <v>142614</v>
      </c>
      <c r="I14" s="19" t="n">
        <v>28908</v>
      </c>
      <c r="J14" s="19" t="n">
        <v>-1326899</v>
      </c>
      <c r="K14" s="16" t="n">
        <v>-110914</v>
      </c>
      <c r="L14" s="16" t="n">
        <v>-110913</v>
      </c>
      <c r="M14" s="16" t="n">
        <v>-110914</v>
      </c>
      <c r="N14" s="16" t="n">
        <v>-110913</v>
      </c>
      <c r="O14" s="16" t="n">
        <v>-110914</v>
      </c>
      <c r="P14" s="16" t="n">
        <v>-110913</v>
      </c>
      <c r="Q14" s="17" t="n">
        <v>-221827</v>
      </c>
      <c r="R14" s="17" t="n">
        <v>-221827</v>
      </c>
      <c r="S14" s="17" t="n">
        <v>-221827</v>
      </c>
      <c r="T14" s="17" t="n">
        <v>-221827</v>
      </c>
      <c r="U14" s="17" t="n">
        <v>-221827</v>
      </c>
      <c r="V14" s="17" t="n">
        <v>-221827</v>
      </c>
      <c r="W14" s="17" t="n">
        <v>-221827</v>
      </c>
      <c r="X14" s="17" t="n">
        <v>-221827</v>
      </c>
      <c r="Y14" s="17" t="n">
        <v>-221827</v>
      </c>
      <c r="Z14" s="17" t="n">
        <v>-221827</v>
      </c>
      <c r="AA14" s="17" t="n">
        <v>-221827</v>
      </c>
      <c r="AB14" s="17" t="n">
        <v>-221827</v>
      </c>
      <c r="AC14" s="17" t="n">
        <v>-221827</v>
      </c>
      <c r="AD14" s="17" t="n">
        <v>-221827</v>
      </c>
    </row>
    <row r="15" outlineLevel="3">
      <c r="B15" s="13" t="inlineStr">
        <is>
          <t>22</t>
        </is>
      </c>
      <c r="C15" s="18" t="inlineStr">
        <is>
          <t>Aum./(dism.) cuentas por pagar</t>
        </is>
      </c>
      <c r="D15" s="19" t="n">
        <v>-17617625</v>
      </c>
      <c r="E15" s="19" t="n">
        <v>16817979</v>
      </c>
      <c r="F15" s="19" t="n">
        <v>23081641</v>
      </c>
      <c r="G15" s="19" t="n">
        <v>-25445438</v>
      </c>
      <c r="H15" s="19" t="n">
        <v>2121556</v>
      </c>
      <c r="I15" s="19" t="n">
        <v>1811717</v>
      </c>
      <c r="J15" s="19" t="n">
        <v>-6771427</v>
      </c>
      <c r="K15" s="16" t="n">
        <v>-428686</v>
      </c>
      <c r="L15" s="16" t="n">
        <v>-428685</v>
      </c>
      <c r="M15" s="16" t="n">
        <v>-428686</v>
      </c>
      <c r="N15" s="16" t="n">
        <v>-428685</v>
      </c>
      <c r="O15" s="16" t="n">
        <v>-428686</v>
      </c>
      <c r="P15" s="16" t="n">
        <v>-428685</v>
      </c>
      <c r="Q15" s="17" t="n">
        <v>-857371</v>
      </c>
      <c r="R15" s="17" t="n">
        <v>-857371</v>
      </c>
      <c r="S15" s="17" t="n">
        <v>-857371</v>
      </c>
      <c r="T15" s="17" t="n">
        <v>-857371</v>
      </c>
      <c r="U15" s="17" t="n">
        <v>-857371</v>
      </c>
      <c r="V15" s="17" t="n">
        <v>-857371</v>
      </c>
      <c r="W15" s="17" t="n">
        <v>-857371</v>
      </c>
      <c r="X15" s="17" t="n">
        <v>-857371</v>
      </c>
      <c r="Y15" s="17" t="n">
        <v>-857371</v>
      </c>
      <c r="Z15" s="17" t="n">
        <v>-857371</v>
      </c>
      <c r="AA15" s="17" t="n">
        <v>-857371</v>
      </c>
      <c r="AB15" s="17" t="n">
        <v>-857371</v>
      </c>
      <c r="AC15" s="17" t="n">
        <v>-857371</v>
      </c>
      <c r="AD15" s="17" t="n">
        <v>-857371</v>
      </c>
    </row>
    <row r="16" outlineLevel="3">
      <c r="B16" s="13" t="inlineStr">
        <is>
          <t>23/25</t>
        </is>
      </c>
      <c r="C16" s="18" t="inlineStr">
        <is>
          <t>Aum./(dism.) obligaciones laborales  ·  NÓMINA → 2da quincena</t>
        </is>
      </c>
      <c r="D16" s="19" t="n">
        <v>-11804489</v>
      </c>
      <c r="E16" s="19" t="n">
        <v>19489125</v>
      </c>
      <c r="F16" s="19" t="n">
        <v>-12825964</v>
      </c>
      <c r="G16" s="19" t="n">
        <v>-2250425</v>
      </c>
      <c r="H16" s="19" t="n">
        <v>3234625</v>
      </c>
      <c r="I16" s="19" t="n">
        <v>-17144777</v>
      </c>
      <c r="J16" s="19" t="n">
        <v>-788424</v>
      </c>
      <c r="K16" s="16" t="n">
        <v>0</v>
      </c>
      <c r="L16" s="16" t="n">
        <v>-3155761</v>
      </c>
      <c r="M16" s="16" t="n">
        <v>0</v>
      </c>
      <c r="N16" s="16" t="n">
        <v>-3155761</v>
      </c>
      <c r="O16" s="16" t="n">
        <v>0</v>
      </c>
      <c r="P16" s="16" t="n">
        <v>-3155761</v>
      </c>
      <c r="Q16" s="17" t="n">
        <v>-3155761</v>
      </c>
      <c r="R16" s="17" t="n">
        <v>-3155761</v>
      </c>
      <c r="S16" s="17" t="n">
        <v>-3155761</v>
      </c>
      <c r="T16" s="17" t="n">
        <v>-3155761</v>
      </c>
      <c r="U16" s="17" t="n">
        <v>-3155761</v>
      </c>
      <c r="V16" s="17" t="n">
        <v>-3155761</v>
      </c>
      <c r="W16" s="17" t="n">
        <v>-3155761</v>
      </c>
      <c r="X16" s="17" t="n">
        <v>-3155761</v>
      </c>
      <c r="Y16" s="17" t="n">
        <v>-3155761</v>
      </c>
      <c r="Z16" s="17" t="n">
        <v>-3155761</v>
      </c>
      <c r="AA16" s="17" t="n">
        <v>-3155761</v>
      </c>
      <c r="AB16" s="17" t="n">
        <v>-3155761</v>
      </c>
      <c r="AC16" s="17" t="n">
        <v>-3155761</v>
      </c>
      <c r="AD16" s="17" t="n">
        <v>-3155761</v>
      </c>
    </row>
    <row r="17" outlineLevel="3">
      <c r="B17" s="13" t="inlineStr">
        <is>
          <t>24</t>
        </is>
      </c>
      <c r="C17" s="18" t="inlineStr">
        <is>
          <t>Aum./(dism.) impuestos por pagar  ·  RETENCIÓN → 1ra quincena</t>
        </is>
      </c>
      <c r="D17" s="19" t="n">
        <v>-2465034</v>
      </c>
      <c r="E17" s="19" t="n">
        <v>-4661054</v>
      </c>
      <c r="F17" s="19" t="n">
        <v>-3940994</v>
      </c>
      <c r="G17" s="19" t="n">
        <v>-4024359</v>
      </c>
      <c r="H17" s="19" t="n">
        <v>-7458760</v>
      </c>
      <c r="I17" s="19" t="n">
        <v>-4347173</v>
      </c>
      <c r="J17" s="19" t="n">
        <v>-4206957</v>
      </c>
      <c r="K17" s="16" t="n">
        <v>-4443476</v>
      </c>
      <c r="L17" s="16" t="n">
        <v>0</v>
      </c>
      <c r="M17" s="16" t="n">
        <v>-4443476</v>
      </c>
      <c r="N17" s="16" t="n">
        <v>0</v>
      </c>
      <c r="O17" s="16" t="n">
        <v>-4443476</v>
      </c>
      <c r="P17" s="16" t="n">
        <v>0</v>
      </c>
      <c r="Q17" s="17" t="n">
        <v>-4443476</v>
      </c>
      <c r="R17" s="17" t="n">
        <v>-4443476</v>
      </c>
      <c r="S17" s="17" t="n">
        <v>-4443476</v>
      </c>
      <c r="T17" s="17" t="n">
        <v>-4443476</v>
      </c>
      <c r="U17" s="17" t="n">
        <v>-4443476</v>
      </c>
      <c r="V17" s="17" t="n">
        <v>-4443476</v>
      </c>
      <c r="W17" s="17" t="n">
        <v>-4443476</v>
      </c>
      <c r="X17" s="17" t="n">
        <v>-4443476</v>
      </c>
      <c r="Y17" s="17" t="n">
        <v>-4443476</v>
      </c>
      <c r="Z17" s="17" t="n">
        <v>-4443476</v>
      </c>
      <c r="AA17" s="17" t="n">
        <v>-4443476</v>
      </c>
      <c r="AB17" s="17" t="n">
        <v>-4443476</v>
      </c>
      <c r="AC17" s="17" t="n">
        <v>-4443476</v>
      </c>
      <c r="AD17" s="17" t="n">
        <v>-4443476</v>
      </c>
    </row>
    <row r="18">
      <c r="B18" s="20" t="inlineStr"/>
      <c r="C18" s="20" t="inlineStr">
        <is>
          <t>Efectivo neto de operación (indirecto)</t>
        </is>
      </c>
      <c r="D18" s="21">
        <f>SUM(D10:D17)</f>
        <v/>
      </c>
      <c r="E18" s="21">
        <f>SUM(E10:E17)</f>
        <v/>
      </c>
      <c r="F18" s="21">
        <f>SUM(F10:F17)</f>
        <v/>
      </c>
      <c r="G18" s="21">
        <f>SUM(G10:G17)</f>
        <v/>
      </c>
      <c r="H18" s="21">
        <f>SUM(H10:H17)</f>
        <v/>
      </c>
      <c r="I18" s="21">
        <f>SUM(I10:I17)</f>
        <v/>
      </c>
      <c r="J18" s="21">
        <f>SUM(J10:J17)</f>
        <v/>
      </c>
      <c r="K18" s="21">
        <f>SUM(K10:K17)</f>
        <v/>
      </c>
      <c r="L18" s="21">
        <f>SUM(L10:L17)</f>
        <v/>
      </c>
      <c r="M18" s="21">
        <f>SUM(M10:M17)</f>
        <v/>
      </c>
      <c r="N18" s="21">
        <f>SUM(N10:N17)</f>
        <v/>
      </c>
      <c r="O18" s="21">
        <f>SUM(O10:O17)</f>
        <v/>
      </c>
      <c r="P18" s="21">
        <f>SUM(P10:P17)</f>
        <v/>
      </c>
      <c r="Q18" s="21">
        <f>SUM(Q10:Q17)</f>
        <v/>
      </c>
      <c r="R18" s="21">
        <f>SUM(R10:R17)</f>
        <v/>
      </c>
      <c r="S18" s="21">
        <f>SUM(S10:S17)</f>
        <v/>
      </c>
      <c r="T18" s="21">
        <f>SUM(T10:T17)</f>
        <v/>
      </c>
      <c r="U18" s="21">
        <f>SUM(U10:U17)</f>
        <v/>
      </c>
      <c r="V18" s="21">
        <f>SUM(V10:V17)</f>
        <v/>
      </c>
      <c r="W18" s="21">
        <f>SUM(W10:W17)</f>
        <v/>
      </c>
      <c r="X18" s="21">
        <f>SUM(X10:X17)</f>
        <v/>
      </c>
      <c r="Y18" s="21">
        <f>SUM(Y10:Y17)</f>
        <v/>
      </c>
      <c r="Z18" s="21">
        <f>SUM(Z10:Z17)</f>
        <v/>
      </c>
      <c r="AA18" s="21">
        <f>SUM(AA10:AA17)</f>
        <v/>
      </c>
      <c r="AB18" s="21">
        <f>SUM(AB10:AB17)</f>
        <v/>
      </c>
      <c r="AC18" s="21">
        <f>SUM(AC10:AC17)</f>
        <v/>
      </c>
      <c r="AD18" s="21">
        <f>SUM(AD10:AD17)</f>
        <v/>
      </c>
    </row>
    <row r="19" outlineLevel="1">
      <c r="C19" s="12" t="inlineStr">
        <is>
          <t>Actividades de inversión</t>
        </is>
      </c>
    </row>
    <row r="20" outlineLevel="2">
      <c r="B20" s="13" t="inlineStr">
        <is>
          <t>15</t>
        </is>
      </c>
      <c r="C20" s="14" t="inlineStr">
        <is>
          <t>(Compra)/venta de propiedad, planta y equipo</t>
        </is>
      </c>
      <c r="D20" s="19" t="n">
        <v>-14180754</v>
      </c>
      <c r="E20" s="19" t="n">
        <v>-60000000</v>
      </c>
      <c r="F20" s="19" t="n">
        <v>0</v>
      </c>
      <c r="G20" s="19" t="n">
        <v>-482185</v>
      </c>
      <c r="H20" s="19" t="n">
        <v>0</v>
      </c>
      <c r="I20" s="19" t="n">
        <v>0</v>
      </c>
      <c r="J20" s="19" t="n">
        <v>-4634600</v>
      </c>
      <c r="K20" s="16" t="n">
        <v>-5664110</v>
      </c>
      <c r="L20" s="16" t="n">
        <v>-5664110</v>
      </c>
      <c r="M20" s="16" t="n">
        <v>-5664110</v>
      </c>
      <c r="N20" s="16" t="n">
        <v>-5664110</v>
      </c>
      <c r="O20" s="16" t="n">
        <v>-5664110</v>
      </c>
      <c r="P20" s="16" t="n">
        <v>-5664110</v>
      </c>
      <c r="Q20" s="17" t="n">
        <v>-11328220</v>
      </c>
      <c r="R20" s="17" t="n">
        <v>-11328220</v>
      </c>
      <c r="S20" s="17" t="n">
        <v>-11328220</v>
      </c>
      <c r="T20" s="17" t="n">
        <v>-11328220</v>
      </c>
      <c r="U20" s="17" t="n">
        <v>-11328220</v>
      </c>
      <c r="V20" s="17" t="n">
        <v>-11328220</v>
      </c>
      <c r="W20" s="17" t="n">
        <v>-11328220</v>
      </c>
      <c r="X20" s="17" t="n">
        <v>-11328220</v>
      </c>
      <c r="Y20" s="17" t="n">
        <v>-11328220</v>
      </c>
      <c r="Z20" s="17" t="n">
        <v>-11328220</v>
      </c>
      <c r="AA20" s="17" t="n">
        <v>-11328220</v>
      </c>
      <c r="AB20" s="17" t="n">
        <v>-11328220</v>
      </c>
      <c r="AC20" s="17" t="n">
        <v>-11328220</v>
      </c>
      <c r="AD20" s="17" t="n">
        <v>-11328220</v>
      </c>
    </row>
    <row r="21">
      <c r="B21" s="20" t="inlineStr"/>
      <c r="C21" s="20" t="inlineStr">
        <is>
          <t>Efectivo neto de inversión</t>
        </is>
      </c>
      <c r="D21" s="21">
        <f>SUM(D20)</f>
        <v/>
      </c>
      <c r="E21" s="21">
        <f>SUM(E20)</f>
        <v/>
      </c>
      <c r="F21" s="21">
        <f>SUM(F20)</f>
        <v/>
      </c>
      <c r="G21" s="21">
        <f>SUM(G20)</f>
        <v/>
      </c>
      <c r="H21" s="21">
        <f>SUM(H20)</f>
        <v/>
      </c>
      <c r="I21" s="21">
        <f>SUM(I20)</f>
        <v/>
      </c>
      <c r="J21" s="21">
        <f>SUM(J20)</f>
        <v/>
      </c>
      <c r="K21" s="21">
        <f>SUM(K20)</f>
        <v/>
      </c>
      <c r="L21" s="21">
        <f>SUM(L20)</f>
        <v/>
      </c>
      <c r="M21" s="21">
        <f>SUM(M20)</f>
        <v/>
      </c>
      <c r="N21" s="21">
        <f>SUM(N20)</f>
        <v/>
      </c>
      <c r="O21" s="21">
        <f>SUM(O20)</f>
        <v/>
      </c>
      <c r="P21" s="21">
        <f>SUM(P20)</f>
        <v/>
      </c>
      <c r="Q21" s="21">
        <f>SUM(Q20)</f>
        <v/>
      </c>
      <c r="R21" s="21">
        <f>SUM(R20)</f>
        <v/>
      </c>
      <c r="S21" s="21">
        <f>SUM(S20)</f>
        <v/>
      </c>
      <c r="T21" s="21">
        <f>SUM(T20)</f>
        <v/>
      </c>
      <c r="U21" s="21">
        <f>SUM(U20)</f>
        <v/>
      </c>
      <c r="V21" s="21">
        <f>SUM(V20)</f>
        <v/>
      </c>
      <c r="W21" s="21">
        <f>SUM(W20)</f>
        <v/>
      </c>
      <c r="X21" s="21">
        <f>SUM(X20)</f>
        <v/>
      </c>
      <c r="Y21" s="21">
        <f>SUM(Y20)</f>
        <v/>
      </c>
      <c r="Z21" s="21">
        <f>SUM(Z20)</f>
        <v/>
      </c>
      <c r="AA21" s="21">
        <f>SUM(AA20)</f>
        <v/>
      </c>
      <c r="AB21" s="21">
        <f>SUM(AB20)</f>
        <v/>
      </c>
      <c r="AC21" s="21">
        <f>SUM(AC20)</f>
        <v/>
      </c>
      <c r="AD21" s="21">
        <f>SUM(AD20)</f>
        <v/>
      </c>
    </row>
    <row r="22" outlineLevel="1">
      <c r="C22" s="12" t="inlineStr">
        <is>
          <t>Actividades de financiación</t>
        </is>
      </c>
    </row>
    <row r="23" outlineLevel="2">
      <c r="B23" s="13" t="inlineStr">
        <is>
          <t>21/23</t>
        </is>
      </c>
      <c r="C23" s="14" t="inlineStr">
        <is>
          <t>Aum./(dism.) obligaciones financieras</t>
        </is>
      </c>
      <c r="D23" s="19" t="n">
        <v>-11525704</v>
      </c>
      <c r="E23" s="19" t="n">
        <v>-10350739</v>
      </c>
      <c r="F23" s="19" t="n">
        <v>-12883561</v>
      </c>
      <c r="G23" s="19" t="n">
        <v>-10091349</v>
      </c>
      <c r="H23" s="19" t="n">
        <v>-11576890</v>
      </c>
      <c r="I23" s="19" t="n">
        <v>-13210576</v>
      </c>
      <c r="J23" s="19" t="n">
        <v>-9362696</v>
      </c>
      <c r="K23" s="16" t="n">
        <v>-5642966</v>
      </c>
      <c r="L23" s="16" t="n">
        <v>-5642965</v>
      </c>
      <c r="M23" s="16" t="n">
        <v>-5642966</v>
      </c>
      <c r="N23" s="16" t="n">
        <v>-5642965</v>
      </c>
      <c r="O23" s="16" t="n">
        <v>-5642966</v>
      </c>
      <c r="P23" s="16" t="n">
        <v>-5642965</v>
      </c>
      <c r="Q23" s="17" t="n">
        <v>-11285931</v>
      </c>
      <c r="R23" s="17" t="n">
        <v>-11285931</v>
      </c>
      <c r="S23" s="17" t="n">
        <v>-11285931</v>
      </c>
      <c r="T23" s="17" t="n">
        <v>-11285931</v>
      </c>
      <c r="U23" s="17" t="n">
        <v>-11285931</v>
      </c>
      <c r="V23" s="17" t="n">
        <v>-11285931</v>
      </c>
      <c r="W23" s="17" t="n">
        <v>-11285931</v>
      </c>
      <c r="X23" s="17" t="n">
        <v>-11285931</v>
      </c>
      <c r="Y23" s="17" t="n">
        <v>-11285931</v>
      </c>
      <c r="Z23" s="17" t="n">
        <v>-11285931</v>
      </c>
      <c r="AA23" s="17" t="n">
        <v>-11285931</v>
      </c>
      <c r="AB23" s="17" t="n">
        <v>-11285931</v>
      </c>
      <c r="AC23" s="17" t="n">
        <v>-11285931</v>
      </c>
      <c r="AD23" s="17" t="n">
        <v>-11285931</v>
      </c>
    </row>
    <row r="24" outlineLevel="2">
      <c r="B24" s="13" t="inlineStr">
        <is>
          <t>31/36</t>
        </is>
      </c>
      <c r="C24" s="14" t="inlineStr">
        <is>
          <t>Aportes/(distribuciones) de socios</t>
        </is>
      </c>
      <c r="D24" s="19" t="n">
        <v>1705531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6" t="n">
        <v>121824</v>
      </c>
      <c r="L24" s="16" t="n">
        <v>121823</v>
      </c>
      <c r="M24" s="16" t="n">
        <v>121824</v>
      </c>
      <c r="N24" s="16" t="n">
        <v>121823</v>
      </c>
      <c r="O24" s="16" t="n">
        <v>121824</v>
      </c>
      <c r="P24" s="16" t="n">
        <v>121823</v>
      </c>
      <c r="Q24" s="17" t="n">
        <v>243647</v>
      </c>
      <c r="R24" s="17" t="n">
        <v>243647</v>
      </c>
      <c r="S24" s="17" t="n">
        <v>243647</v>
      </c>
      <c r="T24" s="17" t="n">
        <v>243647</v>
      </c>
      <c r="U24" s="17" t="n">
        <v>243647</v>
      </c>
      <c r="V24" s="17" t="n">
        <v>243647</v>
      </c>
      <c r="W24" s="17" t="n">
        <v>243647</v>
      </c>
      <c r="X24" s="17" t="n">
        <v>243647</v>
      </c>
      <c r="Y24" s="17" t="n">
        <v>243647</v>
      </c>
      <c r="Z24" s="17" t="n">
        <v>243647</v>
      </c>
      <c r="AA24" s="17" t="n">
        <v>243647</v>
      </c>
      <c r="AB24" s="17" t="n">
        <v>243647</v>
      </c>
      <c r="AC24" s="17" t="n">
        <v>243647</v>
      </c>
      <c r="AD24" s="17" t="n">
        <v>243647</v>
      </c>
    </row>
    <row r="25">
      <c r="B25" s="20" t="inlineStr"/>
      <c r="C25" s="20" t="inlineStr">
        <is>
          <t>Efectivo neto de financiación</t>
        </is>
      </c>
      <c r="D25" s="21">
        <f>SUM(D23:D24)</f>
        <v/>
      </c>
      <c r="E25" s="21">
        <f>SUM(E23:E24)</f>
        <v/>
      </c>
      <c r="F25" s="21">
        <f>SUM(F23:F24)</f>
        <v/>
      </c>
      <c r="G25" s="21">
        <f>SUM(G23:G24)</f>
        <v/>
      </c>
      <c r="H25" s="21">
        <f>SUM(H23:H24)</f>
        <v/>
      </c>
      <c r="I25" s="21">
        <f>SUM(I23:I24)</f>
        <v/>
      </c>
      <c r="J25" s="21">
        <f>SUM(J23:J24)</f>
        <v/>
      </c>
      <c r="K25" s="21">
        <f>SUM(K23:K24)</f>
        <v/>
      </c>
      <c r="L25" s="21">
        <f>SUM(L23:L24)</f>
        <v/>
      </c>
      <c r="M25" s="21">
        <f>SUM(M23:M24)</f>
        <v/>
      </c>
      <c r="N25" s="21">
        <f>SUM(N23:N24)</f>
        <v/>
      </c>
      <c r="O25" s="21">
        <f>SUM(O23:O24)</f>
        <v/>
      </c>
      <c r="P25" s="21">
        <f>SUM(P23:P24)</f>
        <v/>
      </c>
      <c r="Q25" s="21">
        <f>SUM(Q23:Q24)</f>
        <v/>
      </c>
      <c r="R25" s="21">
        <f>SUM(R23:R24)</f>
        <v/>
      </c>
      <c r="S25" s="21">
        <f>SUM(S23:S24)</f>
        <v/>
      </c>
      <c r="T25" s="21">
        <f>SUM(T23:T24)</f>
        <v/>
      </c>
      <c r="U25" s="21">
        <f>SUM(U23:U24)</f>
        <v/>
      </c>
      <c r="V25" s="21">
        <f>SUM(V23:V24)</f>
        <v/>
      </c>
      <c r="W25" s="21">
        <f>SUM(W23:W24)</f>
        <v/>
      </c>
      <c r="X25" s="21">
        <f>SUM(X23:X24)</f>
        <v/>
      </c>
      <c r="Y25" s="21">
        <f>SUM(Y23:Y24)</f>
        <v/>
      </c>
      <c r="Z25" s="21">
        <f>SUM(Z23:Z24)</f>
        <v/>
      </c>
      <c r="AA25" s="21">
        <f>SUM(AA23:AA24)</f>
        <v/>
      </c>
      <c r="AB25" s="21">
        <f>SUM(AB23:AB24)</f>
        <v/>
      </c>
      <c r="AC25" s="21">
        <f>SUM(AC23:AC24)</f>
        <v/>
      </c>
      <c r="AD25" s="21">
        <f>SUM(AD23:AD24)</f>
        <v/>
      </c>
    </row>
    <row r="26">
      <c r="B26" s="20" t="inlineStr">
        <is>
          <t>6</t>
        </is>
      </c>
      <c r="C26" s="20" t="inlineStr">
        <is>
          <t>VARIACIÓN NETA DE EFECTIVO (indirecto)</t>
        </is>
      </c>
      <c r="D26" s="21">
        <f>D18+D21+D25</f>
        <v/>
      </c>
      <c r="E26" s="21">
        <f>E18+E21+E25</f>
        <v/>
      </c>
      <c r="F26" s="21">
        <f>F18+F21+F25</f>
        <v/>
      </c>
      <c r="G26" s="21">
        <f>G18+G21+G25</f>
        <v/>
      </c>
      <c r="H26" s="21">
        <f>H18+H21+H25</f>
        <v/>
      </c>
      <c r="I26" s="21">
        <f>I18+I21+I25</f>
        <v/>
      </c>
      <c r="J26" s="21">
        <f>J18+J21+J25</f>
        <v/>
      </c>
      <c r="K26" s="21">
        <f>K18+K21+K25</f>
        <v/>
      </c>
      <c r="L26" s="21">
        <f>L18+L21+L25</f>
        <v/>
      </c>
      <c r="M26" s="21">
        <f>M18+M21+M25</f>
        <v/>
      </c>
      <c r="N26" s="21">
        <f>N18+N21+N25</f>
        <v/>
      </c>
      <c r="O26" s="21">
        <f>O18+O21+O25</f>
        <v/>
      </c>
      <c r="P26" s="21">
        <f>P18+P21+P25</f>
        <v/>
      </c>
      <c r="Q26" s="21">
        <f>Q18+Q21+Q25</f>
        <v/>
      </c>
      <c r="R26" s="21">
        <f>R18+R21+R25</f>
        <v/>
      </c>
      <c r="S26" s="21">
        <f>S18+S21+S25</f>
        <v/>
      </c>
      <c r="T26" s="21">
        <f>T18+T21+T25</f>
        <v/>
      </c>
      <c r="U26" s="21">
        <f>U18+U21+U25</f>
        <v/>
      </c>
      <c r="V26" s="21">
        <f>V18+V21+V25</f>
        <v/>
      </c>
      <c r="W26" s="21">
        <f>W18+W21+W25</f>
        <v/>
      </c>
      <c r="X26" s="21">
        <f>X18+X21+X25</f>
        <v/>
      </c>
      <c r="Y26" s="21">
        <f>Y18+Y21+Y25</f>
        <v/>
      </c>
      <c r="Z26" s="21">
        <f>Z18+Z21+Z25</f>
        <v/>
      </c>
      <c r="AA26" s="21">
        <f>AA18+AA21+AA25</f>
        <v/>
      </c>
      <c r="AB26" s="21">
        <f>AB18+AB21+AB25</f>
        <v/>
      </c>
      <c r="AC26" s="21">
        <f>AC18+AC21+AC25</f>
        <v/>
      </c>
      <c r="AD26" s="21">
        <f>AD18+AD21+AD25</f>
        <v/>
      </c>
    </row>
    <row r="27">
      <c r="B27" s="13" t="inlineStr"/>
      <c r="C27" s="22" t="inlineStr">
        <is>
          <t>Caja al inicio del período (real Alegra; luego encadena del período previo)</t>
        </is>
      </c>
      <c r="D27" s="19" t="n">
        <v>155509521</v>
      </c>
      <c r="E27" s="15">
        <f>D30</f>
        <v/>
      </c>
      <c r="F27" s="15">
        <f>E30</f>
        <v/>
      </c>
      <c r="G27" s="15">
        <f>F30</f>
        <v/>
      </c>
      <c r="H27" s="15">
        <f>G30</f>
        <v/>
      </c>
      <c r="I27" s="15">
        <f>H30</f>
        <v/>
      </c>
      <c r="J27" s="15">
        <f>I30</f>
        <v/>
      </c>
      <c r="K27" s="16">
        <f>J30</f>
        <v/>
      </c>
      <c r="L27" s="16">
        <f>K30</f>
        <v/>
      </c>
      <c r="M27" s="16">
        <f>L30</f>
        <v/>
      </c>
      <c r="N27" s="16">
        <f>M30</f>
        <v/>
      </c>
      <c r="O27" s="16">
        <f>N30</f>
        <v/>
      </c>
      <c r="P27" s="16">
        <f>O30</f>
        <v/>
      </c>
      <c r="Q27" s="17">
        <f>P30</f>
        <v/>
      </c>
      <c r="R27" s="17">
        <f>Q30</f>
        <v/>
      </c>
      <c r="S27" s="17">
        <f>R30</f>
        <v/>
      </c>
      <c r="T27" s="17">
        <f>S30</f>
        <v/>
      </c>
      <c r="U27" s="17">
        <f>T30</f>
        <v/>
      </c>
      <c r="V27" s="17">
        <f>U30</f>
        <v/>
      </c>
      <c r="W27" s="17">
        <f>V30</f>
        <v/>
      </c>
      <c r="X27" s="17">
        <f>W30</f>
        <v/>
      </c>
      <c r="Y27" s="17">
        <f>X30</f>
        <v/>
      </c>
      <c r="Z27" s="17">
        <f>Y30</f>
        <v/>
      </c>
      <c r="AA27" s="17">
        <f>Z30</f>
        <v/>
      </c>
      <c r="AB27" s="17">
        <f>AA30</f>
        <v/>
      </c>
      <c r="AC27" s="17">
        <f>AB30</f>
        <v/>
      </c>
      <c r="AD27" s="17">
        <f>AC30</f>
        <v/>
      </c>
    </row>
    <row r="28">
      <c r="B28" s="13" t="inlineStr">
        <is>
          <t>11</t>
        </is>
      </c>
      <c r="C28" s="22" t="inlineStr">
        <is>
          <t>Caja al final del período — REAL (Alegra, no calculada)</t>
        </is>
      </c>
      <c r="D28" s="15" t="n"/>
      <c r="E28" s="19" t="n">
        <v>43300803</v>
      </c>
      <c r="F28" s="19" t="n">
        <v>6937762</v>
      </c>
      <c r="G28" s="19" t="n">
        <v>24026296</v>
      </c>
      <c r="H28" s="19" t="n">
        <v>25171246</v>
      </c>
      <c r="I28" s="19" t="n">
        <v>31240004</v>
      </c>
      <c r="J28" s="19" t="n">
        <v>62762964</v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</row>
    <row r="29">
      <c r="B29" s="20" t="inlineStr"/>
      <c r="C29" s="20" t="inlineStr">
        <is>
          <t xml:space="preserve">  Brecha no explicada (caja real − var. neta calc. − caja inicial)</t>
        </is>
      </c>
      <c r="D29" s="21">
        <f>IFERROR(D28-(D27+D26),"")</f>
        <v/>
      </c>
      <c r="E29" s="23">
        <f>IFERROR(E28-(E27+E26),"")</f>
        <v/>
      </c>
      <c r="F29" s="23">
        <f>IFERROR(F28-(F27+F26),"")</f>
        <v/>
      </c>
      <c r="G29" s="23">
        <f>IFERROR(G28-(G27+G26),"")</f>
        <v/>
      </c>
      <c r="H29" s="23">
        <f>IFERROR(H28-(H27+H26),"")</f>
        <v/>
      </c>
      <c r="I29" s="23">
        <f>IFERROR(I28-(I27+I26),"")</f>
        <v/>
      </c>
      <c r="J29" s="23">
        <f>IFERROR(J28-(J27+J26),"")</f>
        <v/>
      </c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</row>
    <row r="30">
      <c r="B30" s="24" t="inlineStr">
        <is>
          <t>6</t>
        </is>
      </c>
      <c r="C30" s="24" t="inlineStr">
        <is>
          <t>CAJA AL FINAL DEL PERÍODO  (real Ene-Jul; proyectada después)</t>
        </is>
      </c>
      <c r="D30" s="25">
        <f>IF(D28&lt;&gt;"",D28,D27+D26)</f>
        <v/>
      </c>
      <c r="E30" s="25">
        <f>IF(E28&lt;&gt;"",E28,E27+E26)</f>
        <v/>
      </c>
      <c r="F30" s="25">
        <f>IF(F28&lt;&gt;"",F28,F27+F26)</f>
        <v/>
      </c>
      <c r="G30" s="25">
        <f>IF(G28&lt;&gt;"",G28,G27+G26)</f>
        <v/>
      </c>
      <c r="H30" s="25">
        <f>IF(H28&lt;&gt;"",H28,H27+H26)</f>
        <v/>
      </c>
      <c r="I30" s="25">
        <f>IF(I28&lt;&gt;"",I28,I27+I26)</f>
        <v/>
      </c>
      <c r="J30" s="25">
        <f>IF(J28&lt;&gt;"",J28,J27+J26)</f>
        <v/>
      </c>
      <c r="K30" s="25">
        <f>IF(K28&lt;&gt;"",K28,K27+K26)</f>
        <v/>
      </c>
      <c r="L30" s="25">
        <f>IF(L28&lt;&gt;"",L28,L27+L26)</f>
        <v/>
      </c>
      <c r="M30" s="25">
        <f>IF(M28&lt;&gt;"",M28,M27+M26)</f>
        <v/>
      </c>
      <c r="N30" s="25">
        <f>IF(N28&lt;&gt;"",N28,N27+N26)</f>
        <v/>
      </c>
      <c r="O30" s="25">
        <f>IF(O28&lt;&gt;"",O28,O27+O26)</f>
        <v/>
      </c>
      <c r="P30" s="25">
        <f>IF(P28&lt;&gt;"",P28,P27+P26)</f>
        <v/>
      </c>
      <c r="Q30" s="25">
        <f>IF(Q28&lt;&gt;"",Q28,Q27+Q26)</f>
        <v/>
      </c>
      <c r="R30" s="25">
        <f>IF(R28&lt;&gt;"",R28,R27+R26)</f>
        <v/>
      </c>
      <c r="S30" s="25">
        <f>IF(S28&lt;&gt;"",S28,S27+S26)</f>
        <v/>
      </c>
      <c r="T30" s="25">
        <f>IF(T28&lt;&gt;"",T28,T27+T26)</f>
        <v/>
      </c>
      <c r="U30" s="25">
        <f>IF(U28&lt;&gt;"",U28,U27+U26)</f>
        <v/>
      </c>
      <c r="V30" s="25">
        <f>IF(V28&lt;&gt;"",V28,V27+V26)</f>
        <v/>
      </c>
      <c r="W30" s="25">
        <f>IF(W28&lt;&gt;"",W28,W27+W26)</f>
        <v/>
      </c>
      <c r="X30" s="25">
        <f>IF(X28&lt;&gt;"",X28,X27+X26)</f>
        <v/>
      </c>
      <c r="Y30" s="25">
        <f>IF(Y28&lt;&gt;"",Y28,Y27+Y26)</f>
        <v/>
      </c>
      <c r="Z30" s="25">
        <f>IF(Z28&lt;&gt;"",Z28,Z27+Z26)</f>
        <v/>
      </c>
      <c r="AA30" s="25">
        <f>IF(AA28&lt;&gt;"",AA28,AA27+AA26)</f>
        <v/>
      </c>
      <c r="AB30" s="25">
        <f>IF(AB28&lt;&gt;"",AB28,AB27+AB26)</f>
        <v/>
      </c>
      <c r="AC30" s="25">
        <f>IF(AC28&lt;&gt;"",AC28,AC27+AC26)</f>
        <v/>
      </c>
      <c r="AD30" s="25">
        <f>IF(AD28&lt;&gt;"",AD28,AD27+AD26)</f>
        <v/>
      </c>
    </row>
    <row r="31" outlineLevel="1">
      <c r="C31" s="8" t="inlineStr">
        <is>
          <t>Azul = real (Alegra). Cursiva azul = proyección mensual; cursiva más clara = proyección quincenal. Timing de caja quincenal (Ago-Oct 2026): nómina en la 2da quincena, retención en la 1ra — no un promedio 50/50. Rojo = brecha entre el método indirecto y la caja real de Alegra (grande en meses de reclase de Edwin, esp. Jul ~345M); es la brecha real que Kevin pidió mostrar, no un error de cálculo.</t>
        </is>
      </c>
    </row>
    <row r="33">
      <c r="B33" s="10" t="inlineStr"/>
      <c r="C33" s="10" t="inlineStr">
        <is>
          <t>2. ESTADO DE RESULTADOS — Base Causación (tipo USALI)  ·  Ene-Jul real, luego proyectado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</row>
    <row r="34">
      <c r="B34" s="26" t="inlineStr">
        <is>
          <t>41</t>
        </is>
      </c>
      <c r="C34" s="26" t="inlineStr">
        <is>
          <t>A. INGRESOS OPERACIONALES</t>
        </is>
      </c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</row>
    <row r="35" outlineLevel="1">
      <c r="C35" s="12" t="inlineStr">
        <is>
          <t>Ingresos por segmento</t>
        </is>
      </c>
    </row>
    <row r="36" outlineLevel="2">
      <c r="B36" s="13" t="inlineStr">
        <is>
          <t>4135</t>
        </is>
      </c>
      <c r="C36" s="14" t="inlineStr">
        <is>
          <t>Ventas totales (Daytrips + Charters + Bar + Buceo)</t>
        </is>
      </c>
      <c r="D36" s="19" t="n">
        <v>169220454</v>
      </c>
      <c r="E36" s="19" t="n">
        <v>83951575</v>
      </c>
      <c r="F36" s="19" t="n">
        <v>122081005</v>
      </c>
      <c r="G36" s="19" t="n">
        <v>135341673</v>
      </c>
      <c r="H36" s="19" t="n">
        <v>99222750</v>
      </c>
      <c r="I36" s="19" t="n">
        <v>105515222</v>
      </c>
      <c r="J36" s="19" t="n">
        <v>160424759</v>
      </c>
      <c r="K36" s="16" t="n">
        <v>62554102</v>
      </c>
      <c r="L36" s="16" t="n">
        <v>62554103</v>
      </c>
      <c r="M36" s="16" t="n">
        <v>62554102</v>
      </c>
      <c r="N36" s="16" t="n">
        <v>62554103</v>
      </c>
      <c r="O36" s="16" t="n">
        <v>62554102</v>
      </c>
      <c r="P36" s="16" t="n">
        <v>62554103</v>
      </c>
      <c r="Q36" s="17" t="n">
        <v>125108205</v>
      </c>
      <c r="R36" s="17" t="n">
        <v>125108205</v>
      </c>
      <c r="S36" s="17" t="n">
        <v>125108205</v>
      </c>
      <c r="T36" s="17" t="n">
        <v>125108205</v>
      </c>
      <c r="U36" s="17" t="n">
        <v>125108205</v>
      </c>
      <c r="V36" s="17" t="n">
        <v>125108205</v>
      </c>
      <c r="W36" s="17" t="n">
        <v>125108205</v>
      </c>
      <c r="X36" s="17" t="n">
        <v>125108205</v>
      </c>
      <c r="Y36" s="17" t="n">
        <v>125108205</v>
      </c>
      <c r="Z36" s="17" t="n">
        <v>125108205</v>
      </c>
      <c r="AA36" s="17" t="n">
        <v>125108205</v>
      </c>
      <c r="AB36" s="17" t="n">
        <v>125108205</v>
      </c>
      <c r="AC36" s="17" t="n">
        <v>125108205</v>
      </c>
      <c r="AD36" s="17" t="n">
        <v>125108205</v>
      </c>
    </row>
    <row r="37" outlineLevel="3">
      <c r="B37" s="13" t="inlineStr">
        <is>
          <t>4135-1</t>
        </is>
      </c>
      <c r="C37" s="18" t="inlineStr">
        <is>
          <t>· Daytrips (tours regulares) — desglose pendiente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</row>
    <row r="38" outlineLevel="3">
      <c r="B38" s="13" t="inlineStr">
        <is>
          <t>4135-2</t>
        </is>
      </c>
      <c r="C38" s="18" t="inlineStr">
        <is>
          <t>· Charters privados — desglose pendiente</t>
        </is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</row>
    <row r="39" outlineLevel="3">
      <c r="B39" s="13" t="inlineStr">
        <is>
          <t>4135-3</t>
        </is>
      </c>
      <c r="C39" s="18" t="inlineStr">
        <is>
          <t>· Bar / bebidas a bordo — desglose pendiente</t>
        </is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</row>
    <row r="40" outlineLevel="3">
      <c r="B40" s="13" t="inlineStr">
        <is>
          <t>4135-4</t>
        </is>
      </c>
      <c r="C40" s="18" t="inlineStr">
        <is>
          <t>· Buceo / actividades — desglose pendiente</t>
        </is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</row>
    <row r="41" outlineLevel="1">
      <c r="C41" s="12" t="inlineStr">
        <is>
          <t>Ajustes</t>
        </is>
      </c>
    </row>
    <row r="42" outlineLevel="2">
      <c r="B42" s="13" t="inlineStr">
        <is>
          <t>4175</t>
        </is>
      </c>
      <c r="C42" s="14" t="inlineStr">
        <is>
          <t>Devoluciones en ventas</t>
        </is>
      </c>
      <c r="D42" s="19" t="n">
        <v>-46000</v>
      </c>
      <c r="E42" s="19" t="n">
        <v>-124000</v>
      </c>
      <c r="F42" s="19" t="n">
        <v>-656000</v>
      </c>
      <c r="G42" s="19" t="n">
        <v>-1277000</v>
      </c>
      <c r="H42" s="19" t="n">
        <v>0</v>
      </c>
      <c r="I42" s="19" t="n">
        <v>-80162</v>
      </c>
      <c r="J42" s="19" t="n">
        <v>-1718163</v>
      </c>
      <c r="K42" s="16" t="n">
        <v>-278666</v>
      </c>
      <c r="L42" s="16" t="n">
        <v>-278666</v>
      </c>
      <c r="M42" s="16" t="n">
        <v>-278666</v>
      </c>
      <c r="N42" s="16" t="n">
        <v>-278666</v>
      </c>
      <c r="O42" s="16" t="n">
        <v>-278666</v>
      </c>
      <c r="P42" s="16" t="n">
        <v>-278666</v>
      </c>
      <c r="Q42" s="17" t="n">
        <v>-557332</v>
      </c>
      <c r="R42" s="17" t="n">
        <v>-557332</v>
      </c>
      <c r="S42" s="17" t="n">
        <v>-557332</v>
      </c>
      <c r="T42" s="17" t="n">
        <v>-557332</v>
      </c>
      <c r="U42" s="17" t="n">
        <v>-557332</v>
      </c>
      <c r="V42" s="17" t="n">
        <v>-557332</v>
      </c>
      <c r="W42" s="17" t="n">
        <v>-557332</v>
      </c>
      <c r="X42" s="17" t="n">
        <v>-557332</v>
      </c>
      <c r="Y42" s="17" t="n">
        <v>-557332</v>
      </c>
      <c r="Z42" s="17" t="n">
        <v>-557332</v>
      </c>
      <c r="AA42" s="17" t="n">
        <v>-557332</v>
      </c>
      <c r="AB42" s="17" t="n">
        <v>-557332</v>
      </c>
      <c r="AC42" s="17" t="n">
        <v>-557332</v>
      </c>
      <c r="AD42" s="17" t="n">
        <v>-557332</v>
      </c>
    </row>
    <row r="43">
      <c r="B43" s="20" t="inlineStr"/>
      <c r="C43" s="20" t="inlineStr">
        <is>
          <t>TOTAL INGRESOS OPERACIONALES</t>
        </is>
      </c>
      <c r="D43" s="21">
        <f>D36+D42</f>
        <v/>
      </c>
      <c r="E43" s="21">
        <f>E36+E42</f>
        <v/>
      </c>
      <c r="F43" s="21">
        <f>F36+F42</f>
        <v/>
      </c>
      <c r="G43" s="21">
        <f>G36+G42</f>
        <v/>
      </c>
      <c r="H43" s="21">
        <f>H36+H42</f>
        <v/>
      </c>
      <c r="I43" s="21">
        <f>I36+I42</f>
        <v/>
      </c>
      <c r="J43" s="21">
        <f>J36+J42</f>
        <v/>
      </c>
      <c r="K43" s="21">
        <f>K36+K42</f>
        <v/>
      </c>
      <c r="L43" s="21">
        <f>L36+L42</f>
        <v/>
      </c>
      <c r="M43" s="21">
        <f>M36+M42</f>
        <v/>
      </c>
      <c r="N43" s="21">
        <f>N36+N42</f>
        <v/>
      </c>
      <c r="O43" s="21">
        <f>O36+O42</f>
        <v/>
      </c>
      <c r="P43" s="21">
        <f>P36+P42</f>
        <v/>
      </c>
      <c r="Q43" s="21">
        <f>Q36+Q42</f>
        <v/>
      </c>
      <c r="R43" s="21">
        <f>R36+R42</f>
        <v/>
      </c>
      <c r="S43" s="21">
        <f>S36+S42</f>
        <v/>
      </c>
      <c r="T43" s="21">
        <f>T36+T42</f>
        <v/>
      </c>
      <c r="U43" s="21">
        <f>U36+U42</f>
        <v/>
      </c>
      <c r="V43" s="21">
        <f>V36+V42</f>
        <v/>
      </c>
      <c r="W43" s="21">
        <f>W36+W42</f>
        <v/>
      </c>
      <c r="X43" s="21">
        <f>X36+X42</f>
        <v/>
      </c>
      <c r="Y43" s="21">
        <f>Y36+Y42</f>
        <v/>
      </c>
      <c r="Z43" s="21">
        <f>Z36+Z42</f>
        <v/>
      </c>
      <c r="AA43" s="21">
        <f>AA36+AA42</f>
        <v/>
      </c>
      <c r="AB43" s="21">
        <f>AB36+AB42</f>
        <v/>
      </c>
      <c r="AC43" s="21">
        <f>AC36+AC42</f>
        <v/>
      </c>
      <c r="AD43" s="21">
        <f>AD36+AD42</f>
        <v/>
      </c>
    </row>
    <row r="44">
      <c r="B44" s="26" t="inlineStr">
        <is>
          <t>61/62</t>
        </is>
      </c>
      <c r="C44" s="26" t="inlineStr">
        <is>
          <t>B. COSTOS DIRECTOS DEPARTAMENTALES</t>
        </is>
      </c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</row>
    <row r="45" outlineLevel="1">
      <c r="C45" s="12" t="inlineStr">
        <is>
          <t>Categorías de costo</t>
        </is>
      </c>
    </row>
    <row r="46" outlineLevel="2">
      <c r="B46" s="13" t="inlineStr">
        <is>
          <t>6135</t>
        </is>
      </c>
      <c r="C46" s="14" t="inlineStr">
        <is>
          <t>Costo de la mercancía vendida</t>
        </is>
      </c>
      <c r="D46" s="19" t="n">
        <v>-2762643</v>
      </c>
      <c r="E46" s="19" t="n">
        <v>-1677400</v>
      </c>
      <c r="F46" s="19" t="n">
        <v>-2376434</v>
      </c>
      <c r="G46" s="19" t="n">
        <v>-1432031</v>
      </c>
      <c r="H46" s="19" t="n">
        <v>-1724517</v>
      </c>
      <c r="I46" s="19" t="n">
        <v>-1776378</v>
      </c>
      <c r="J46" s="19" t="n">
        <v>-2082490</v>
      </c>
      <c r="K46" s="16" t="n">
        <v>-987992</v>
      </c>
      <c r="L46" s="16" t="n">
        <v>-987993</v>
      </c>
      <c r="M46" s="16" t="n">
        <v>-987992</v>
      </c>
      <c r="N46" s="16" t="n">
        <v>-987993</v>
      </c>
      <c r="O46" s="16" t="n">
        <v>-987992</v>
      </c>
      <c r="P46" s="16" t="n">
        <v>-987993</v>
      </c>
      <c r="Q46" s="17" t="n">
        <v>-1975985</v>
      </c>
      <c r="R46" s="17" t="n">
        <v>-1975985</v>
      </c>
      <c r="S46" s="17" t="n">
        <v>-1975985</v>
      </c>
      <c r="T46" s="17" t="n">
        <v>-1975985</v>
      </c>
      <c r="U46" s="17" t="n">
        <v>-1975985</v>
      </c>
      <c r="V46" s="17" t="n">
        <v>-1975985</v>
      </c>
      <c r="W46" s="17" t="n">
        <v>-1975985</v>
      </c>
      <c r="X46" s="17" t="n">
        <v>-1975985</v>
      </c>
      <c r="Y46" s="17" t="n">
        <v>-1975985</v>
      </c>
      <c r="Z46" s="17" t="n">
        <v>-1975985</v>
      </c>
      <c r="AA46" s="17" t="n">
        <v>-1975985</v>
      </c>
      <c r="AB46" s="17" t="n">
        <v>-1975985</v>
      </c>
      <c r="AC46" s="17" t="n">
        <v>-1975985</v>
      </c>
      <c r="AD46" s="17" t="n">
        <v>-1975985</v>
      </c>
    </row>
    <row r="47" outlineLevel="2">
      <c r="B47" s="13" t="inlineStr">
        <is>
          <t>6205</t>
        </is>
      </c>
      <c r="C47" s="14" t="inlineStr">
        <is>
          <t>Costo de los servicios vendidos (atraque+combustible+mtto+tripulación+comisiones+manillas+otros)</t>
        </is>
      </c>
      <c r="D47" s="19" t="n">
        <v>-52717548</v>
      </c>
      <c r="E47" s="19" t="n">
        <v>-23453801</v>
      </c>
      <c r="F47" s="19" t="n">
        <v>-49709700</v>
      </c>
      <c r="G47" s="19" t="n">
        <v>-39345035</v>
      </c>
      <c r="H47" s="19" t="n">
        <v>-34625130</v>
      </c>
      <c r="I47" s="19" t="n">
        <v>-35208504</v>
      </c>
      <c r="J47" s="19" t="n">
        <v>-37867675</v>
      </c>
      <c r="K47" s="16" t="n">
        <v>-19494814</v>
      </c>
      <c r="L47" s="16" t="n">
        <v>-19494814</v>
      </c>
      <c r="M47" s="16" t="n">
        <v>-19494814</v>
      </c>
      <c r="N47" s="16" t="n">
        <v>-19494814</v>
      </c>
      <c r="O47" s="16" t="n">
        <v>-19494814</v>
      </c>
      <c r="P47" s="16" t="n">
        <v>-19494814</v>
      </c>
      <c r="Q47" s="17" t="n">
        <v>-38989628</v>
      </c>
      <c r="R47" s="17" t="n">
        <v>-38989628</v>
      </c>
      <c r="S47" s="17" t="n">
        <v>-38989628</v>
      </c>
      <c r="T47" s="17" t="n">
        <v>-38989628</v>
      </c>
      <c r="U47" s="17" t="n">
        <v>-38989628</v>
      </c>
      <c r="V47" s="17" t="n">
        <v>-38989628</v>
      </c>
      <c r="W47" s="17" t="n">
        <v>-38989628</v>
      </c>
      <c r="X47" s="17" t="n">
        <v>-38989628</v>
      </c>
      <c r="Y47" s="17" t="n">
        <v>-38989628</v>
      </c>
      <c r="Z47" s="17" t="n">
        <v>-38989628</v>
      </c>
      <c r="AA47" s="17" t="n">
        <v>-38989628</v>
      </c>
      <c r="AB47" s="17" t="n">
        <v>-38989628</v>
      </c>
      <c r="AC47" s="17" t="n">
        <v>-38989628</v>
      </c>
      <c r="AD47" s="17" t="n">
        <v>-38989628</v>
      </c>
    </row>
    <row r="48">
      <c r="B48" s="20" t="inlineStr"/>
      <c r="C48" s="20" t="inlineStr">
        <is>
          <t>TOTAL COSTOS DIRECTOS</t>
        </is>
      </c>
      <c r="D48" s="21">
        <f>D46+D47</f>
        <v/>
      </c>
      <c r="E48" s="21">
        <f>E46+E47</f>
        <v/>
      </c>
      <c r="F48" s="21">
        <f>F46+F47</f>
        <v/>
      </c>
      <c r="G48" s="21">
        <f>G46+G47</f>
        <v/>
      </c>
      <c r="H48" s="21">
        <f>H46+H47</f>
        <v/>
      </c>
      <c r="I48" s="21">
        <f>I46+I47</f>
        <v/>
      </c>
      <c r="J48" s="21">
        <f>J46+J47</f>
        <v/>
      </c>
      <c r="K48" s="21">
        <f>K46+K47</f>
        <v/>
      </c>
      <c r="L48" s="21">
        <f>L46+L47</f>
        <v/>
      </c>
      <c r="M48" s="21">
        <f>M46+M47</f>
        <v/>
      </c>
      <c r="N48" s="21">
        <f>N46+N47</f>
        <v/>
      </c>
      <c r="O48" s="21">
        <f>O46+O47</f>
        <v/>
      </c>
      <c r="P48" s="21">
        <f>P46+P47</f>
        <v/>
      </c>
      <c r="Q48" s="21">
        <f>Q46+Q47</f>
        <v/>
      </c>
      <c r="R48" s="21">
        <f>R46+R47</f>
        <v/>
      </c>
      <c r="S48" s="21">
        <f>S46+S47</f>
        <v/>
      </c>
      <c r="T48" s="21">
        <f>T46+T47</f>
        <v/>
      </c>
      <c r="U48" s="21">
        <f>U46+U47</f>
        <v/>
      </c>
      <c r="V48" s="21">
        <f>V46+V47</f>
        <v/>
      </c>
      <c r="W48" s="21">
        <f>W46+W47</f>
        <v/>
      </c>
      <c r="X48" s="21">
        <f>X46+X47</f>
        <v/>
      </c>
      <c r="Y48" s="21">
        <f>Y46+Y47</f>
        <v/>
      </c>
      <c r="Z48" s="21">
        <f>Z46+Z47</f>
        <v/>
      </c>
      <c r="AA48" s="21">
        <f>AA46+AA47</f>
        <v/>
      </c>
      <c r="AB48" s="21">
        <f>AB46+AB47</f>
        <v/>
      </c>
      <c r="AC48" s="21">
        <f>AC46+AC47</f>
        <v/>
      </c>
      <c r="AD48" s="21">
        <f>AD46+AD47</f>
        <v/>
      </c>
    </row>
    <row r="49">
      <c r="B49" s="20" t="inlineStr"/>
      <c r="C49" s="20" t="inlineStr">
        <is>
          <t>UTILIDAD BRUTA  (Departmental Profit)</t>
        </is>
      </c>
      <c r="D49" s="21">
        <f>D43+D48</f>
        <v/>
      </c>
      <c r="E49" s="21">
        <f>E43+E48</f>
        <v/>
      </c>
      <c r="F49" s="21">
        <f>F43+F48</f>
        <v/>
      </c>
      <c r="G49" s="21">
        <f>G43+G48</f>
        <v/>
      </c>
      <c r="H49" s="21">
        <f>H43+H48</f>
        <v/>
      </c>
      <c r="I49" s="21">
        <f>I43+I48</f>
        <v/>
      </c>
      <c r="J49" s="21">
        <f>J43+J48</f>
        <v/>
      </c>
      <c r="K49" s="21">
        <f>K43+K48</f>
        <v/>
      </c>
      <c r="L49" s="21">
        <f>L43+L48</f>
        <v/>
      </c>
      <c r="M49" s="21">
        <f>M43+M48</f>
        <v/>
      </c>
      <c r="N49" s="21">
        <f>N43+N48</f>
        <v/>
      </c>
      <c r="O49" s="21">
        <f>O43+O48</f>
        <v/>
      </c>
      <c r="P49" s="21">
        <f>P43+P48</f>
        <v/>
      </c>
      <c r="Q49" s="21">
        <f>Q43+Q48</f>
        <v/>
      </c>
      <c r="R49" s="21">
        <f>R43+R48</f>
        <v/>
      </c>
      <c r="S49" s="21">
        <f>S43+S48</f>
        <v/>
      </c>
      <c r="T49" s="21">
        <f>T43+T48</f>
        <v/>
      </c>
      <c r="U49" s="21">
        <f>U43+U48</f>
        <v/>
      </c>
      <c r="V49" s="21">
        <f>V43+V48</f>
        <v/>
      </c>
      <c r="W49" s="21">
        <f>W43+W48</f>
        <v/>
      </c>
      <c r="X49" s="21">
        <f>X43+X48</f>
        <v/>
      </c>
      <c r="Y49" s="21">
        <f>Y43+Y48</f>
        <v/>
      </c>
      <c r="Z49" s="21">
        <f>Z43+Z48</f>
        <v/>
      </c>
      <c r="AA49" s="21">
        <f>AA43+AA48</f>
        <v/>
      </c>
      <c r="AB49" s="21">
        <f>AB43+AB48</f>
        <v/>
      </c>
      <c r="AC49" s="21">
        <f>AC43+AC48</f>
        <v/>
      </c>
      <c r="AD49" s="21">
        <f>AD43+AD48</f>
        <v/>
      </c>
    </row>
    <row r="50">
      <c r="B50" s="26" t="inlineStr">
        <is>
          <t>51/52</t>
        </is>
      </c>
      <c r="C50" s="26" t="inlineStr">
        <is>
          <t>C. GASTOS OPERACIONALES NO DISTRIBUIDOS</t>
        </is>
      </c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</row>
    <row r="51" outlineLevel="1">
      <c r="C51" s="12" t="inlineStr">
        <is>
          <t>Categorías de gasto</t>
        </is>
      </c>
    </row>
    <row r="52" outlineLevel="2">
      <c r="B52" s="13" t="inlineStr">
        <is>
          <t>5105-T</t>
        </is>
      </c>
      <c r="C52" s="14" t="inlineStr">
        <is>
          <t>Personal temporal  ·  nómina → 2da quincena</t>
        </is>
      </c>
      <c r="D52" s="19" t="n">
        <v>-4113915</v>
      </c>
      <c r="E52" s="19" t="n">
        <v>-3258255</v>
      </c>
      <c r="F52" s="19" t="n">
        <v>-5227530</v>
      </c>
      <c r="G52" s="19" t="n">
        <v>-7524962</v>
      </c>
      <c r="H52" s="19" t="n">
        <v>-3937685</v>
      </c>
      <c r="I52" s="19" t="n">
        <v>-2654235</v>
      </c>
      <c r="J52" s="19" t="n">
        <v>-6663375</v>
      </c>
      <c r="K52" s="16" t="n">
        <v>0</v>
      </c>
      <c r="L52" s="16" t="n">
        <v>-4768565</v>
      </c>
      <c r="M52" s="16" t="n">
        <v>0</v>
      </c>
      <c r="N52" s="16" t="n">
        <v>-4768565</v>
      </c>
      <c r="O52" s="16" t="n">
        <v>0</v>
      </c>
      <c r="P52" s="16" t="n">
        <v>-4768565</v>
      </c>
      <c r="Q52" s="17" t="n">
        <v>-4768565</v>
      </c>
      <c r="R52" s="17" t="n">
        <v>-4768565</v>
      </c>
      <c r="S52" s="17" t="n">
        <v>-4768565</v>
      </c>
      <c r="T52" s="17" t="n">
        <v>-4768565</v>
      </c>
      <c r="U52" s="17" t="n">
        <v>-4768565</v>
      </c>
      <c r="V52" s="17" t="n">
        <v>-4768565</v>
      </c>
      <c r="W52" s="17" t="n">
        <v>-4768565</v>
      </c>
      <c r="X52" s="17" t="n">
        <v>-4768565</v>
      </c>
      <c r="Y52" s="17" t="n">
        <v>-4768565</v>
      </c>
      <c r="Z52" s="17" t="n">
        <v>-4768565</v>
      </c>
      <c r="AA52" s="17" t="n">
        <v>-4768565</v>
      </c>
      <c r="AB52" s="17" t="n">
        <v>-4768565</v>
      </c>
      <c r="AC52" s="17" t="n">
        <v>-4768565</v>
      </c>
      <c r="AD52" s="17" t="n">
        <v>-4768565</v>
      </c>
    </row>
    <row r="53" outlineLevel="2">
      <c r="B53" s="13" t="inlineStr">
        <is>
          <t>5105-N</t>
        </is>
      </c>
      <c r="C53" s="14" t="inlineStr">
        <is>
          <t>Nómina administrativa fija  ·  → 2da quincena</t>
        </is>
      </c>
      <c r="D53" s="19" t="n">
        <v>-35511362</v>
      </c>
      <c r="E53" s="19" t="n">
        <v>-32316470</v>
      </c>
      <c r="F53" s="19" t="n">
        <v>-32742946</v>
      </c>
      <c r="G53" s="19" t="n">
        <v>-29196377</v>
      </c>
      <c r="H53" s="19" t="n">
        <v>-30029387</v>
      </c>
      <c r="I53" s="19" t="n">
        <v>-22320158</v>
      </c>
      <c r="J53" s="19" t="n">
        <v>-28866282</v>
      </c>
      <c r="K53" s="16" t="n">
        <v>0</v>
      </c>
      <c r="L53" s="16" t="n">
        <v>-30140426</v>
      </c>
      <c r="M53" s="16" t="n">
        <v>0</v>
      </c>
      <c r="N53" s="16" t="n">
        <v>-30140426</v>
      </c>
      <c r="O53" s="16" t="n">
        <v>0</v>
      </c>
      <c r="P53" s="16" t="n">
        <v>-30140426</v>
      </c>
      <c r="Q53" s="17" t="n">
        <v>-30140426</v>
      </c>
      <c r="R53" s="17" t="n">
        <v>-30140426</v>
      </c>
      <c r="S53" s="17" t="n">
        <v>-30140426</v>
      </c>
      <c r="T53" s="17" t="n">
        <v>-30140426</v>
      </c>
      <c r="U53" s="17" t="n">
        <v>-30140426</v>
      </c>
      <c r="V53" s="17" t="n">
        <v>-30140426</v>
      </c>
      <c r="W53" s="17" t="n">
        <v>-30140426</v>
      </c>
      <c r="X53" s="17" t="n">
        <v>-30140426</v>
      </c>
      <c r="Y53" s="17" t="n">
        <v>-30140426</v>
      </c>
      <c r="Z53" s="17" t="n">
        <v>-30140426</v>
      </c>
      <c r="AA53" s="17" t="n">
        <v>-30140426</v>
      </c>
      <c r="AB53" s="17" t="n">
        <v>-30140426</v>
      </c>
      <c r="AC53" s="17" t="n">
        <v>-30140426</v>
      </c>
      <c r="AD53" s="17" t="n">
        <v>-30140426</v>
      </c>
    </row>
    <row r="54" outlineLevel="2">
      <c r="B54" s="13" t="inlineStr">
        <is>
          <t>5195</t>
        </is>
      </c>
      <c r="C54" s="14" t="inlineStr">
        <is>
          <t>Gastos generales (mercadeo, marina, seguros, DIMAR/ICA, contable y legal)</t>
        </is>
      </c>
      <c r="D54" s="19" t="n">
        <v>-9444241</v>
      </c>
      <c r="E54" s="19" t="n">
        <v>-23570073</v>
      </c>
      <c r="F54" s="19" t="n">
        <v>-14956980</v>
      </c>
      <c r="G54" s="19" t="n">
        <v>-13445647</v>
      </c>
      <c r="H54" s="19" t="n">
        <v>-7679345</v>
      </c>
      <c r="I54" s="19" t="n">
        <v>-10653937</v>
      </c>
      <c r="J54" s="19" t="n">
        <v>-9601688</v>
      </c>
      <c r="K54" s="16" t="n">
        <v>-6382280</v>
      </c>
      <c r="L54" s="16" t="n">
        <v>-6382279</v>
      </c>
      <c r="M54" s="16" t="n">
        <v>-6382280</v>
      </c>
      <c r="N54" s="16" t="n">
        <v>-6382279</v>
      </c>
      <c r="O54" s="16" t="n">
        <v>-6382280</v>
      </c>
      <c r="P54" s="16" t="n">
        <v>-6382279</v>
      </c>
      <c r="Q54" s="17" t="n">
        <v>-12764559</v>
      </c>
      <c r="R54" s="17" t="n">
        <v>-12764559</v>
      </c>
      <c r="S54" s="17" t="n">
        <v>-12764559</v>
      </c>
      <c r="T54" s="17" t="n">
        <v>-12764559</v>
      </c>
      <c r="U54" s="17" t="n">
        <v>-12764559</v>
      </c>
      <c r="V54" s="17" t="n">
        <v>-12764559</v>
      </c>
      <c r="W54" s="17" t="n">
        <v>-12764559</v>
      </c>
      <c r="X54" s="17" t="n">
        <v>-12764559</v>
      </c>
      <c r="Y54" s="17" t="n">
        <v>-12764559</v>
      </c>
      <c r="Z54" s="17" t="n">
        <v>-12764559</v>
      </c>
      <c r="AA54" s="17" t="n">
        <v>-12764559</v>
      </c>
      <c r="AB54" s="17" t="n">
        <v>-12764559</v>
      </c>
      <c r="AC54" s="17" t="n">
        <v>-12764559</v>
      </c>
      <c r="AD54" s="17" t="n">
        <v>-12764559</v>
      </c>
    </row>
    <row r="55" outlineLevel="2">
      <c r="B55" s="13" t="inlineStr">
        <is>
          <t>5205</t>
        </is>
      </c>
      <c r="C55" s="14" t="inlineStr">
        <is>
          <t>Servicios operacionales en venta</t>
        </is>
      </c>
      <c r="D55" s="19" t="n">
        <v>-285415</v>
      </c>
      <c r="E55" s="19" t="n">
        <v>-610058</v>
      </c>
      <c r="F55" s="19" t="n">
        <v>-479978</v>
      </c>
      <c r="G55" s="19" t="n">
        <v>-783573</v>
      </c>
      <c r="H55" s="19" t="n">
        <v>-629793</v>
      </c>
      <c r="I55" s="19" t="n">
        <v>-747197</v>
      </c>
      <c r="J55" s="19" t="n">
        <v>-650494</v>
      </c>
      <c r="K55" s="16" t="n">
        <v>-299036</v>
      </c>
      <c r="L55" s="16" t="n">
        <v>-299037</v>
      </c>
      <c r="M55" s="16" t="n">
        <v>-299036</v>
      </c>
      <c r="N55" s="16" t="n">
        <v>-299037</v>
      </c>
      <c r="O55" s="16" t="n">
        <v>-299036</v>
      </c>
      <c r="P55" s="16" t="n">
        <v>-299037</v>
      </c>
      <c r="Q55" s="17" t="n">
        <v>-598073</v>
      </c>
      <c r="R55" s="17" t="n">
        <v>-598073</v>
      </c>
      <c r="S55" s="17" t="n">
        <v>-598073</v>
      </c>
      <c r="T55" s="17" t="n">
        <v>-598073</v>
      </c>
      <c r="U55" s="17" t="n">
        <v>-598073</v>
      </c>
      <c r="V55" s="17" t="n">
        <v>-598073</v>
      </c>
      <c r="W55" s="17" t="n">
        <v>-598073</v>
      </c>
      <c r="X55" s="17" t="n">
        <v>-598073</v>
      </c>
      <c r="Y55" s="17" t="n">
        <v>-598073</v>
      </c>
      <c r="Z55" s="17" t="n">
        <v>-598073</v>
      </c>
      <c r="AA55" s="17" t="n">
        <v>-598073</v>
      </c>
      <c r="AB55" s="17" t="n">
        <v>-598073</v>
      </c>
      <c r="AC55" s="17" t="n">
        <v>-598073</v>
      </c>
      <c r="AD55" s="17" t="n">
        <v>-598073</v>
      </c>
    </row>
    <row r="56">
      <c r="B56" s="20" t="inlineStr"/>
      <c r="C56" s="20" t="inlineStr">
        <is>
          <t>TOTAL GASTOS NO DISTRIBUIDOS</t>
        </is>
      </c>
      <c r="D56" s="21">
        <f>SUM(D52:D55)</f>
        <v/>
      </c>
      <c r="E56" s="21">
        <f>SUM(E52:E55)</f>
        <v/>
      </c>
      <c r="F56" s="21">
        <f>SUM(F52:F55)</f>
        <v/>
      </c>
      <c r="G56" s="21">
        <f>SUM(G52:G55)</f>
        <v/>
      </c>
      <c r="H56" s="21">
        <f>SUM(H52:H55)</f>
        <v/>
      </c>
      <c r="I56" s="21">
        <f>SUM(I52:I55)</f>
        <v/>
      </c>
      <c r="J56" s="21">
        <f>SUM(J52:J55)</f>
        <v/>
      </c>
      <c r="K56" s="21">
        <f>SUM(K52:K55)</f>
        <v/>
      </c>
      <c r="L56" s="21">
        <f>SUM(L52:L55)</f>
        <v/>
      </c>
      <c r="M56" s="21">
        <f>SUM(M52:M55)</f>
        <v/>
      </c>
      <c r="N56" s="21">
        <f>SUM(N52:N55)</f>
        <v/>
      </c>
      <c r="O56" s="21">
        <f>SUM(O52:O55)</f>
        <v/>
      </c>
      <c r="P56" s="21">
        <f>SUM(P52:P55)</f>
        <v/>
      </c>
      <c r="Q56" s="21">
        <f>SUM(Q52:Q55)</f>
        <v/>
      </c>
      <c r="R56" s="21">
        <f>SUM(R52:R55)</f>
        <v/>
      </c>
      <c r="S56" s="21">
        <f>SUM(S52:S55)</f>
        <v/>
      </c>
      <c r="T56" s="21">
        <f>SUM(T52:T55)</f>
        <v/>
      </c>
      <c r="U56" s="21">
        <f>SUM(U52:U55)</f>
        <v/>
      </c>
      <c r="V56" s="21">
        <f>SUM(V52:V55)</f>
        <v/>
      </c>
      <c r="W56" s="21">
        <f>SUM(W52:W55)</f>
        <v/>
      </c>
      <c r="X56" s="21">
        <f>SUM(X52:X55)</f>
        <v/>
      </c>
      <c r="Y56" s="21">
        <f>SUM(Y52:Y55)</f>
        <v/>
      </c>
      <c r="Z56" s="21">
        <f>SUM(Z52:Z55)</f>
        <v/>
      </c>
      <c r="AA56" s="21">
        <f>SUM(AA52:AA55)</f>
        <v/>
      </c>
      <c r="AB56" s="21">
        <f>SUM(AB52:AB55)</f>
        <v/>
      </c>
      <c r="AC56" s="21">
        <f>SUM(AC52:AC55)</f>
        <v/>
      </c>
      <c r="AD56" s="21">
        <f>SUM(AD52:AD55)</f>
        <v/>
      </c>
    </row>
    <row r="57">
      <c r="B57" s="28" t="inlineStr">
        <is>
          <t>GOP</t>
        </is>
      </c>
      <c r="C57" s="28" t="inlineStr">
        <is>
          <t>GOP — UTILIDAD OPERATIVA BRUTA = EBITDA (causación)</t>
        </is>
      </c>
      <c r="D57" s="29">
        <f>D49+D56</f>
        <v/>
      </c>
      <c r="E57" s="29">
        <f>E49+E56</f>
        <v/>
      </c>
      <c r="F57" s="29">
        <f>F49+F56</f>
        <v/>
      </c>
      <c r="G57" s="29">
        <f>G49+G56</f>
        <v/>
      </c>
      <c r="H57" s="29">
        <f>H49+H56</f>
        <v/>
      </c>
      <c r="I57" s="29">
        <f>I49+I56</f>
        <v/>
      </c>
      <c r="J57" s="29">
        <f>J49+J56</f>
        <v/>
      </c>
      <c r="K57" s="29">
        <f>K49+K56</f>
        <v/>
      </c>
      <c r="L57" s="29">
        <f>L49+L56</f>
        <v/>
      </c>
      <c r="M57" s="29">
        <f>M49+M56</f>
        <v/>
      </c>
      <c r="N57" s="29">
        <f>N49+N56</f>
        <v/>
      </c>
      <c r="O57" s="29">
        <f>O49+O56</f>
        <v/>
      </c>
      <c r="P57" s="29">
        <f>P49+P56</f>
        <v/>
      </c>
      <c r="Q57" s="29">
        <f>Q49+Q56</f>
        <v/>
      </c>
      <c r="R57" s="29">
        <f>R49+R56</f>
        <v/>
      </c>
      <c r="S57" s="29">
        <f>S49+S56</f>
        <v/>
      </c>
      <c r="T57" s="29">
        <f>T49+T56</f>
        <v/>
      </c>
      <c r="U57" s="29">
        <f>U49+U56</f>
        <v/>
      </c>
      <c r="V57" s="29">
        <f>V49+V56</f>
        <v/>
      </c>
      <c r="W57" s="29">
        <f>W49+W56</f>
        <v/>
      </c>
      <c r="X57" s="29">
        <f>X49+X56</f>
        <v/>
      </c>
      <c r="Y57" s="29">
        <f>Y49+Y56</f>
        <v/>
      </c>
      <c r="Z57" s="29">
        <f>Z49+Z56</f>
        <v/>
      </c>
      <c r="AA57" s="29">
        <f>AA49+AA56</f>
        <v/>
      </c>
      <c r="AB57" s="29">
        <f>AB49+AB56</f>
        <v/>
      </c>
      <c r="AC57" s="29">
        <f>AC49+AC56</f>
        <v/>
      </c>
      <c r="AD57" s="29">
        <f>AD49+AD56</f>
        <v/>
      </c>
    </row>
    <row r="58">
      <c r="B58" s="26" t="inlineStr">
        <is>
          <t>53/54</t>
        </is>
      </c>
      <c r="C58" s="26" t="inlineStr">
        <is>
          <t>D. PARTIDAS NO OPERACIONALES (debajo del GOP)</t>
        </is>
      </c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</row>
    <row r="59" outlineLevel="1">
      <c r="C59" s="12" t="inlineStr">
        <is>
          <t>Partidas no operacionales</t>
        </is>
      </c>
    </row>
    <row r="60" outlineLevel="2">
      <c r="B60" s="13" t="inlineStr">
        <is>
          <t>5160</t>
        </is>
      </c>
      <c r="C60" s="14" t="inlineStr">
        <is>
          <t>Depreciación de propiedad, planta y equipo</t>
        </is>
      </c>
      <c r="D60" s="19" t="n">
        <v>-1038987</v>
      </c>
      <c r="E60" s="19" t="n">
        <v>-1038987</v>
      </c>
      <c r="F60" s="19" t="n">
        <v>-1038987</v>
      </c>
      <c r="G60" s="19" t="n">
        <v>-1038987</v>
      </c>
      <c r="H60" s="19" t="n">
        <v>-1038987</v>
      </c>
      <c r="I60" s="19" t="n">
        <v>0</v>
      </c>
      <c r="J60" s="19" t="n">
        <v>-1038987</v>
      </c>
      <c r="K60" s="16" t="n">
        <v>-445280</v>
      </c>
      <c r="L60" s="16" t="n">
        <v>-445280</v>
      </c>
      <c r="M60" s="16" t="n">
        <v>-445280</v>
      </c>
      <c r="N60" s="16" t="n">
        <v>-445280</v>
      </c>
      <c r="O60" s="16" t="n">
        <v>-445280</v>
      </c>
      <c r="P60" s="16" t="n">
        <v>-445280</v>
      </c>
      <c r="Q60" s="17" t="n">
        <v>-890560</v>
      </c>
      <c r="R60" s="17" t="n">
        <v>-890560</v>
      </c>
      <c r="S60" s="17" t="n">
        <v>-890560</v>
      </c>
      <c r="T60" s="17" t="n">
        <v>-890560</v>
      </c>
      <c r="U60" s="17" t="n">
        <v>-890560</v>
      </c>
      <c r="V60" s="17" t="n">
        <v>-890560</v>
      </c>
      <c r="W60" s="17" t="n">
        <v>-890560</v>
      </c>
      <c r="X60" s="17" t="n">
        <v>-890560</v>
      </c>
      <c r="Y60" s="17" t="n">
        <v>-890560</v>
      </c>
      <c r="Z60" s="17" t="n">
        <v>-890560</v>
      </c>
      <c r="AA60" s="17" t="n">
        <v>-890560</v>
      </c>
      <c r="AB60" s="17" t="n">
        <v>-890560</v>
      </c>
      <c r="AC60" s="17" t="n">
        <v>-890560</v>
      </c>
      <c r="AD60" s="17" t="n">
        <v>-890560</v>
      </c>
    </row>
    <row r="61" outlineLevel="2">
      <c r="B61" s="13" t="inlineStr">
        <is>
          <t>4210</t>
        </is>
      </c>
      <c r="C61" s="14" t="inlineStr">
        <is>
          <t>Otros ingresos (financieros)</t>
        </is>
      </c>
      <c r="D61" s="19" t="n">
        <v>23200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366</v>
      </c>
      <c r="K61" s="16" t="n">
        <v>1684</v>
      </c>
      <c r="L61" s="16" t="n">
        <v>1683</v>
      </c>
      <c r="M61" s="16" t="n">
        <v>1684</v>
      </c>
      <c r="N61" s="16" t="n">
        <v>1683</v>
      </c>
      <c r="O61" s="16" t="n">
        <v>1684</v>
      </c>
      <c r="P61" s="16" t="n">
        <v>1683</v>
      </c>
      <c r="Q61" s="17" t="n">
        <v>3367</v>
      </c>
      <c r="R61" s="17" t="n">
        <v>3367</v>
      </c>
      <c r="S61" s="17" t="n">
        <v>3367</v>
      </c>
      <c r="T61" s="17" t="n">
        <v>3367</v>
      </c>
      <c r="U61" s="17" t="n">
        <v>3367</v>
      </c>
      <c r="V61" s="17" t="n">
        <v>3367</v>
      </c>
      <c r="W61" s="17" t="n">
        <v>3367</v>
      </c>
      <c r="X61" s="17" t="n">
        <v>3367</v>
      </c>
      <c r="Y61" s="17" t="n">
        <v>3367</v>
      </c>
      <c r="Z61" s="17" t="n">
        <v>3367</v>
      </c>
      <c r="AA61" s="17" t="n">
        <v>3367</v>
      </c>
      <c r="AB61" s="17" t="n">
        <v>3367</v>
      </c>
      <c r="AC61" s="17" t="n">
        <v>3367</v>
      </c>
      <c r="AD61" s="17" t="n">
        <v>3367</v>
      </c>
    </row>
    <row r="62" outlineLevel="2">
      <c r="B62" s="13" t="inlineStr">
        <is>
          <t>5305</t>
        </is>
      </c>
      <c r="C62" s="14" t="inlineStr">
        <is>
          <t>Otros gastos diversos</t>
        </is>
      </c>
      <c r="D62" s="19" t="n">
        <v>-18411</v>
      </c>
      <c r="E62" s="19" t="n">
        <v>-187147</v>
      </c>
      <c r="F62" s="19" t="n">
        <v>-4665621</v>
      </c>
      <c r="G62" s="19" t="n">
        <v>-552737</v>
      </c>
      <c r="H62" s="19" t="n">
        <v>-177986</v>
      </c>
      <c r="I62" s="19" t="n">
        <v>-488483</v>
      </c>
      <c r="J62" s="19" t="n">
        <v>-605000</v>
      </c>
      <c r="K62" s="16" t="n">
        <v>-478242</v>
      </c>
      <c r="L62" s="16" t="n">
        <v>-478242</v>
      </c>
      <c r="M62" s="16" t="n">
        <v>-478242</v>
      </c>
      <c r="N62" s="16" t="n">
        <v>-478242</v>
      </c>
      <c r="O62" s="16" t="n">
        <v>-478242</v>
      </c>
      <c r="P62" s="16" t="n">
        <v>-478242</v>
      </c>
      <c r="Q62" s="17" t="n">
        <v>-956484</v>
      </c>
      <c r="R62" s="17" t="n">
        <v>-956484</v>
      </c>
      <c r="S62" s="17" t="n">
        <v>-956484</v>
      </c>
      <c r="T62" s="17" t="n">
        <v>-956484</v>
      </c>
      <c r="U62" s="17" t="n">
        <v>-956484</v>
      </c>
      <c r="V62" s="17" t="n">
        <v>-956484</v>
      </c>
      <c r="W62" s="17" t="n">
        <v>-956484</v>
      </c>
      <c r="X62" s="17" t="n">
        <v>-956484</v>
      </c>
      <c r="Y62" s="17" t="n">
        <v>-956484</v>
      </c>
      <c r="Z62" s="17" t="n">
        <v>-956484</v>
      </c>
      <c r="AA62" s="17" t="n">
        <v>-956484</v>
      </c>
      <c r="AB62" s="17" t="n">
        <v>-956484</v>
      </c>
      <c r="AC62" s="17" t="n">
        <v>-956484</v>
      </c>
      <c r="AD62" s="17" t="n">
        <v>-956484</v>
      </c>
    </row>
    <row r="63" outlineLevel="2">
      <c r="B63" s="13" t="inlineStr">
        <is>
          <t>5305-F</t>
        </is>
      </c>
      <c r="C63" s="14" t="inlineStr">
        <is>
          <t>Gastos financieros (intereses)</t>
        </is>
      </c>
      <c r="D63" s="19" t="n">
        <v>-6062309</v>
      </c>
      <c r="E63" s="19" t="n">
        <v>-5211080</v>
      </c>
      <c r="F63" s="19" t="n">
        <v>-6870502</v>
      </c>
      <c r="G63" s="19" t="n">
        <v>-4835665</v>
      </c>
      <c r="H63" s="19" t="n">
        <v>-5721680</v>
      </c>
      <c r="I63" s="19" t="n">
        <v>-5588726</v>
      </c>
      <c r="J63" s="19" t="n">
        <v>-4323219</v>
      </c>
      <c r="K63" s="16" t="n">
        <v>-2758084</v>
      </c>
      <c r="L63" s="16" t="n">
        <v>-2758085</v>
      </c>
      <c r="M63" s="16" t="n">
        <v>-2758084</v>
      </c>
      <c r="N63" s="16" t="n">
        <v>-2758085</v>
      </c>
      <c r="O63" s="16" t="n">
        <v>-2758084</v>
      </c>
      <c r="P63" s="16" t="n">
        <v>-2758085</v>
      </c>
      <c r="Q63" s="17" t="n">
        <v>-5516169</v>
      </c>
      <c r="R63" s="17" t="n">
        <v>-5516169</v>
      </c>
      <c r="S63" s="17" t="n">
        <v>-5516169</v>
      </c>
      <c r="T63" s="17" t="n">
        <v>-5516169</v>
      </c>
      <c r="U63" s="17" t="n">
        <v>-5516169</v>
      </c>
      <c r="V63" s="17" t="n">
        <v>-5516169</v>
      </c>
      <c r="W63" s="17" t="n">
        <v>-5516169</v>
      </c>
      <c r="X63" s="17" t="n">
        <v>-5516169</v>
      </c>
      <c r="Y63" s="17" t="n">
        <v>-5516169</v>
      </c>
      <c r="Z63" s="17" t="n">
        <v>-5516169</v>
      </c>
      <c r="AA63" s="17" t="n">
        <v>-5516169</v>
      </c>
      <c r="AB63" s="17" t="n">
        <v>-5516169</v>
      </c>
      <c r="AC63" s="17" t="n">
        <v>-5516169</v>
      </c>
      <c r="AD63" s="17" t="n">
        <v>-5516169</v>
      </c>
    </row>
    <row r="64" outlineLevel="2">
      <c r="B64" s="13" t="inlineStr"/>
      <c r="C64" s="14" t="inlineStr">
        <is>
          <t>Ajustes por aproximaciones</t>
        </is>
      </c>
      <c r="D64" s="19" t="n">
        <v>1</v>
      </c>
      <c r="E64" s="19" t="n">
        <v>0</v>
      </c>
      <c r="F64" s="19" t="n">
        <v>0</v>
      </c>
      <c r="G64" s="19" t="n">
        <v>0</v>
      </c>
      <c r="H64" s="19" t="n">
        <v>0</v>
      </c>
      <c r="I64" s="19" t="n">
        <v>0</v>
      </c>
      <c r="J64" s="19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</row>
    <row r="65">
      <c r="B65" s="20" t="inlineStr"/>
      <c r="C65" s="20" t="inlineStr">
        <is>
          <t>UTILIDAD OPERATIVA  (EBIT, después de D&amp;A)</t>
        </is>
      </c>
      <c r="D65" s="21">
        <f>D57+D60</f>
        <v/>
      </c>
      <c r="E65" s="21">
        <f>E57+E60</f>
        <v/>
      </c>
      <c r="F65" s="21">
        <f>F57+F60</f>
        <v/>
      </c>
      <c r="G65" s="21">
        <f>G57+G60</f>
        <v/>
      </c>
      <c r="H65" s="21">
        <f>H57+H60</f>
        <v/>
      </c>
      <c r="I65" s="21">
        <f>I57+I60</f>
        <v/>
      </c>
      <c r="J65" s="21">
        <f>J57+J60</f>
        <v/>
      </c>
      <c r="K65" s="21">
        <f>K57+K60</f>
        <v/>
      </c>
      <c r="L65" s="21">
        <f>L57+L60</f>
        <v/>
      </c>
      <c r="M65" s="21">
        <f>M57+M60</f>
        <v/>
      </c>
      <c r="N65" s="21">
        <f>N57+N60</f>
        <v/>
      </c>
      <c r="O65" s="21">
        <f>O57+O60</f>
        <v/>
      </c>
      <c r="P65" s="21">
        <f>P57+P60</f>
        <v/>
      </c>
      <c r="Q65" s="21">
        <f>Q57+Q60</f>
        <v/>
      </c>
      <c r="R65" s="21">
        <f>R57+R60</f>
        <v/>
      </c>
      <c r="S65" s="21">
        <f>S57+S60</f>
        <v/>
      </c>
      <c r="T65" s="21">
        <f>T57+T60</f>
        <v/>
      </c>
      <c r="U65" s="21">
        <f>U57+U60</f>
        <v/>
      </c>
      <c r="V65" s="21">
        <f>V57+V60</f>
        <v/>
      </c>
      <c r="W65" s="21">
        <f>W57+W60</f>
        <v/>
      </c>
      <c r="X65" s="21">
        <f>X57+X60</f>
        <v/>
      </c>
      <c r="Y65" s="21">
        <f>Y57+Y60</f>
        <v/>
      </c>
      <c r="Z65" s="21">
        <f>Z57+Z60</f>
        <v/>
      </c>
      <c r="AA65" s="21">
        <f>AA57+AA60</f>
        <v/>
      </c>
      <c r="AB65" s="21">
        <f>AB57+AB60</f>
        <v/>
      </c>
      <c r="AC65" s="21">
        <f>AC57+AC60</f>
        <v/>
      </c>
      <c r="AD65" s="21">
        <f>AD57+AD60</f>
        <v/>
      </c>
    </row>
    <row r="66">
      <c r="B66" s="20" t="inlineStr"/>
      <c r="C66" s="20" t="inlineStr">
        <is>
          <t>UTILIDAD ANTES DE IMPUESTOS</t>
        </is>
      </c>
      <c r="D66" s="21">
        <f>D65+D61+D62+D63+D64</f>
        <v/>
      </c>
      <c r="E66" s="21">
        <f>E65+E61+E62+E63+E64</f>
        <v/>
      </c>
      <c r="F66" s="21">
        <f>F65+F61+F62+F63+F64</f>
        <v/>
      </c>
      <c r="G66" s="21">
        <f>G65+G61+G62+G63+G64</f>
        <v/>
      </c>
      <c r="H66" s="21">
        <f>H65+H61+H62+H63+H64</f>
        <v/>
      </c>
      <c r="I66" s="21">
        <f>I65+I61+I62+I63+I64</f>
        <v/>
      </c>
      <c r="J66" s="21">
        <f>J65+J61+J62+J63+J64</f>
        <v/>
      </c>
      <c r="K66" s="21">
        <f>K65+K61+K62+K63+K64</f>
        <v/>
      </c>
      <c r="L66" s="21">
        <f>L65+L61+L62+L63+L64</f>
        <v/>
      </c>
      <c r="M66" s="21">
        <f>M65+M61+M62+M63+M64</f>
        <v/>
      </c>
      <c r="N66" s="21">
        <f>N65+N61+N62+N63+N64</f>
        <v/>
      </c>
      <c r="O66" s="21">
        <f>O65+O61+O62+O63+O64</f>
        <v/>
      </c>
      <c r="P66" s="21">
        <f>P65+P61+P62+P63+P64</f>
        <v/>
      </c>
      <c r="Q66" s="21">
        <f>Q65+Q61+Q62+Q63+Q64</f>
        <v/>
      </c>
      <c r="R66" s="21">
        <f>R65+R61+R62+R63+R64</f>
        <v/>
      </c>
      <c r="S66" s="21">
        <f>S65+S61+S62+S63+S64</f>
        <v/>
      </c>
      <c r="T66" s="21">
        <f>T65+T61+T62+T63+T64</f>
        <v/>
      </c>
      <c r="U66" s="21">
        <f>U65+U61+U62+U63+U64</f>
        <v/>
      </c>
      <c r="V66" s="21">
        <f>V65+V61+V62+V63+V64</f>
        <v/>
      </c>
      <c r="W66" s="21">
        <f>W65+W61+W62+W63+W64</f>
        <v/>
      </c>
      <c r="X66" s="21">
        <f>X65+X61+X62+X63+X64</f>
        <v/>
      </c>
      <c r="Y66" s="21">
        <f>Y65+Y61+Y62+Y63+Y64</f>
        <v/>
      </c>
      <c r="Z66" s="21">
        <f>Z65+Z61+Z62+Z63+Z64</f>
        <v/>
      </c>
      <c r="AA66" s="21">
        <f>AA65+AA61+AA62+AA63+AA64</f>
        <v/>
      </c>
      <c r="AB66" s="21">
        <f>AB65+AB61+AB62+AB63+AB64</f>
        <v/>
      </c>
      <c r="AC66" s="21">
        <f>AC65+AC61+AC62+AC63+AC64</f>
        <v/>
      </c>
      <c r="AD66" s="21">
        <f>AD65+AD61+AD62+AD63+AD64</f>
        <v/>
      </c>
    </row>
    <row r="67" outlineLevel="2">
      <c r="B67" s="13" t="inlineStr">
        <is>
          <t>54</t>
        </is>
      </c>
      <c r="C67" s="22" t="inlineStr">
        <is>
          <t>Gastos por impuestos (no acreditables: 4x1000, impoconsumo, IVA no deducible)</t>
        </is>
      </c>
      <c r="D67" s="19" t="n">
        <v>-7205884</v>
      </c>
      <c r="E67" s="19" t="n">
        <v>-3253543</v>
      </c>
      <c r="F67" s="19" t="n">
        <v>-7613411</v>
      </c>
      <c r="G67" s="19" t="n">
        <v>-5369597</v>
      </c>
      <c r="H67" s="19" t="n">
        <v>-1559069</v>
      </c>
      <c r="I67" s="19" t="n">
        <v>-1442611</v>
      </c>
      <c r="J67" s="19" t="n">
        <v>-1055706</v>
      </c>
      <c r="K67" s="16" t="n">
        <v>-1964273</v>
      </c>
      <c r="L67" s="16" t="n">
        <v>-1964273</v>
      </c>
      <c r="M67" s="16" t="n">
        <v>-1964273</v>
      </c>
      <c r="N67" s="16" t="n">
        <v>-1964273</v>
      </c>
      <c r="O67" s="16" t="n">
        <v>-1964273</v>
      </c>
      <c r="P67" s="16" t="n">
        <v>-1964273</v>
      </c>
      <c r="Q67" s="17" t="n">
        <v>-3928546</v>
      </c>
      <c r="R67" s="17" t="n">
        <v>-3928546</v>
      </c>
      <c r="S67" s="17" t="n">
        <v>-3928546</v>
      </c>
      <c r="T67" s="17" t="n">
        <v>-3928546</v>
      </c>
      <c r="U67" s="17" t="n">
        <v>-3928546</v>
      </c>
      <c r="V67" s="17" t="n">
        <v>-3928546</v>
      </c>
      <c r="W67" s="17" t="n">
        <v>-3928546</v>
      </c>
      <c r="X67" s="17" t="n">
        <v>-3928546</v>
      </c>
      <c r="Y67" s="17" t="n">
        <v>-3928546</v>
      </c>
      <c r="Z67" s="17" t="n">
        <v>-3928546</v>
      </c>
      <c r="AA67" s="17" t="n">
        <v>-3928546</v>
      </c>
      <c r="AB67" s="17" t="n">
        <v>-3928546</v>
      </c>
      <c r="AC67" s="17" t="n">
        <v>-3928546</v>
      </c>
      <c r="AD67" s="17" t="n">
        <v>-3928546</v>
      </c>
    </row>
    <row r="68">
      <c r="B68" s="24" t="inlineStr"/>
      <c r="C68" s="24" t="inlineStr">
        <is>
          <t>UTILIDAD NETA  (causación)</t>
        </is>
      </c>
      <c r="D68" s="25">
        <f>D66+D67</f>
        <v/>
      </c>
      <c r="E68" s="25">
        <f>E66+E67</f>
        <v/>
      </c>
      <c r="F68" s="25">
        <f>F66+F67</f>
        <v/>
      </c>
      <c r="G68" s="25">
        <f>G66+G67</f>
        <v/>
      </c>
      <c r="H68" s="25">
        <f>H66+H67</f>
        <v/>
      </c>
      <c r="I68" s="25">
        <f>I66+I67</f>
        <v/>
      </c>
      <c r="J68" s="25">
        <f>J66+J67</f>
        <v/>
      </c>
      <c r="K68" s="25">
        <f>K66+K67</f>
        <v/>
      </c>
      <c r="L68" s="25">
        <f>L66+L67</f>
        <v/>
      </c>
      <c r="M68" s="25">
        <f>M66+M67</f>
        <v/>
      </c>
      <c r="N68" s="25">
        <f>N66+N67</f>
        <v/>
      </c>
      <c r="O68" s="25">
        <f>O66+O67</f>
        <v/>
      </c>
      <c r="P68" s="25">
        <f>P66+P67</f>
        <v/>
      </c>
      <c r="Q68" s="25">
        <f>Q66+Q67</f>
        <v/>
      </c>
      <c r="R68" s="25">
        <f>R66+R67</f>
        <v/>
      </c>
      <c r="S68" s="25">
        <f>S66+S67</f>
        <v/>
      </c>
      <c r="T68" s="25">
        <f>T66+T67</f>
        <v/>
      </c>
      <c r="U68" s="25">
        <f>U66+U67</f>
        <v/>
      </c>
      <c r="V68" s="25">
        <f>V66+V67</f>
        <v/>
      </c>
      <c r="W68" s="25">
        <f>W66+W67</f>
        <v/>
      </c>
      <c r="X68" s="25">
        <f>X66+X67</f>
        <v/>
      </c>
      <c r="Y68" s="25">
        <f>Y66+Y67</f>
        <v/>
      </c>
      <c r="Z68" s="25">
        <f>Z66+Z67</f>
        <v/>
      </c>
      <c r="AA68" s="25">
        <f>AA66+AA67</f>
        <v/>
      </c>
      <c r="AB68" s="25">
        <f>AB66+AB67</f>
        <v/>
      </c>
      <c r="AC68" s="25">
        <f>AC66+AC67</f>
        <v/>
      </c>
      <c r="AD68" s="25">
        <f>AD66+AD67</f>
        <v/>
      </c>
    </row>
    <row r="70" outlineLevel="1">
      <c r="B70" s="13" t="inlineStr"/>
      <c r="C70" s="22" t="inlineStr">
        <is>
          <t>% margen GOP / EBITDA sobre ingresos</t>
        </is>
      </c>
      <c r="D70" s="30">
        <f>IFERROR(D57/D43,"")</f>
        <v/>
      </c>
      <c r="E70" s="30">
        <f>IFERROR(E57/E43,"")</f>
        <v/>
      </c>
      <c r="F70" s="30">
        <f>IFERROR(F57/F43,"")</f>
        <v/>
      </c>
      <c r="G70" s="30">
        <f>IFERROR(G57/G43,"")</f>
        <v/>
      </c>
      <c r="H70" s="30">
        <f>IFERROR(H57/H43,"")</f>
        <v/>
      </c>
      <c r="I70" s="30">
        <f>IFERROR(I57/I43,"")</f>
        <v/>
      </c>
      <c r="J70" s="30">
        <f>IFERROR(J57/J43,"")</f>
        <v/>
      </c>
      <c r="K70" s="30">
        <f>IFERROR(K57/K43,"")</f>
        <v/>
      </c>
      <c r="L70" s="30">
        <f>IFERROR(L57/L43,"")</f>
        <v/>
      </c>
      <c r="M70" s="30">
        <f>IFERROR(M57/M43,"")</f>
        <v/>
      </c>
      <c r="N70" s="30">
        <f>IFERROR(N57/N43,"")</f>
        <v/>
      </c>
      <c r="O70" s="30">
        <f>IFERROR(O57/O43,"")</f>
        <v/>
      </c>
      <c r="P70" s="30">
        <f>IFERROR(P57/P43,"")</f>
        <v/>
      </c>
      <c r="Q70" s="30">
        <f>IFERROR(Q57/Q43,"")</f>
        <v/>
      </c>
      <c r="R70" s="30">
        <f>IFERROR(R57/R43,"")</f>
        <v/>
      </c>
      <c r="S70" s="30">
        <f>IFERROR(S57/S43,"")</f>
        <v/>
      </c>
      <c r="T70" s="30">
        <f>IFERROR(T57/T43,"")</f>
        <v/>
      </c>
      <c r="U70" s="30">
        <f>IFERROR(U57/U43,"")</f>
        <v/>
      </c>
      <c r="V70" s="30">
        <f>IFERROR(V57/V43,"")</f>
        <v/>
      </c>
      <c r="W70" s="30">
        <f>IFERROR(W57/W43,"")</f>
        <v/>
      </c>
      <c r="X70" s="30">
        <f>IFERROR(X57/X43,"")</f>
        <v/>
      </c>
      <c r="Y70" s="30">
        <f>IFERROR(Y57/Y43,"")</f>
        <v/>
      </c>
      <c r="Z70" s="30">
        <f>IFERROR(Z57/Z43,"")</f>
        <v/>
      </c>
      <c r="AA70" s="30">
        <f>IFERROR(AA57/AA43,"")</f>
        <v/>
      </c>
      <c r="AB70" s="30">
        <f>IFERROR(AB57/AB43,"")</f>
        <v/>
      </c>
      <c r="AC70" s="30">
        <f>IFERROR(AC57/AC43,"")</f>
        <v/>
      </c>
      <c r="AD70" s="30">
        <f>IFERROR(AD57/AD43,"")</f>
        <v/>
      </c>
    </row>
    <row r="71" outlineLevel="1">
      <c r="B71" s="13" t="inlineStr"/>
      <c r="C71" s="22" t="inlineStr">
        <is>
          <t>% margen neto sobre ingresos</t>
        </is>
      </c>
      <c r="D71" s="30">
        <f>IFERROR(D68/D43,"")</f>
        <v/>
      </c>
      <c r="E71" s="30">
        <f>IFERROR(E68/E43,"")</f>
        <v/>
      </c>
      <c r="F71" s="30">
        <f>IFERROR(F68/F43,"")</f>
        <v/>
      </c>
      <c r="G71" s="30">
        <f>IFERROR(G68/G43,"")</f>
        <v/>
      </c>
      <c r="H71" s="30">
        <f>IFERROR(H68/H43,"")</f>
        <v/>
      </c>
      <c r="I71" s="30">
        <f>IFERROR(I68/I43,"")</f>
        <v/>
      </c>
      <c r="J71" s="30">
        <f>IFERROR(J68/J43,"")</f>
        <v/>
      </c>
      <c r="K71" s="30">
        <f>IFERROR(K68/K43,"")</f>
        <v/>
      </c>
      <c r="L71" s="30">
        <f>IFERROR(L68/L43,"")</f>
        <v/>
      </c>
      <c r="M71" s="30">
        <f>IFERROR(M68/M43,"")</f>
        <v/>
      </c>
      <c r="N71" s="30">
        <f>IFERROR(N68/N43,"")</f>
        <v/>
      </c>
      <c r="O71" s="30">
        <f>IFERROR(O68/O43,"")</f>
        <v/>
      </c>
      <c r="P71" s="30">
        <f>IFERROR(P68/P43,"")</f>
        <v/>
      </c>
      <c r="Q71" s="30">
        <f>IFERROR(Q68/Q43,"")</f>
        <v/>
      </c>
      <c r="R71" s="30">
        <f>IFERROR(R68/R43,"")</f>
        <v/>
      </c>
      <c r="S71" s="30">
        <f>IFERROR(S68/S43,"")</f>
        <v/>
      </c>
      <c r="T71" s="30">
        <f>IFERROR(T68/T43,"")</f>
        <v/>
      </c>
      <c r="U71" s="30">
        <f>IFERROR(U68/U43,"")</f>
        <v/>
      </c>
      <c r="V71" s="30">
        <f>IFERROR(V68/V43,"")</f>
        <v/>
      </c>
      <c r="W71" s="30">
        <f>IFERROR(W68/W43,"")</f>
        <v/>
      </c>
      <c r="X71" s="30">
        <f>IFERROR(X68/X43,"")</f>
        <v/>
      </c>
      <c r="Y71" s="30">
        <f>IFERROR(Y68/Y43,"")</f>
        <v/>
      </c>
      <c r="Z71" s="30">
        <f>IFERROR(Z68/Z43,"")</f>
        <v/>
      </c>
      <c r="AA71" s="30">
        <f>IFERROR(AA68/AA43,"")</f>
        <v/>
      </c>
      <c r="AB71" s="30">
        <f>IFERROR(AB68/AB43,"")</f>
        <v/>
      </c>
      <c r="AC71" s="30">
        <f>IFERROR(AC68/AC43,"")</f>
        <v/>
      </c>
      <c r="AD71" s="30">
        <f>IFERROR(AD68/AD43,"")</f>
        <v/>
      </c>
    </row>
    <row r="73">
      <c r="B73" s="10" t="inlineStr"/>
      <c r="C73" s="10" t="inlineStr">
        <is>
          <t>3. BALANCE GENERAL — Base Libros (estatutario)  ·  Ene-Jul real (fin de mes); Ago-2026 → Dic-2027 roll-forward por drivers</t>
        </is>
      </c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</row>
    <row r="74">
      <c r="B74" s="26" t="inlineStr">
        <is>
          <t>1</t>
        </is>
      </c>
      <c r="C74" s="26" t="inlineStr">
        <is>
          <t>ACTIVOS</t>
        </is>
      </c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</row>
    <row r="75" outlineLevel="1">
      <c r="C75" s="12" t="inlineStr">
        <is>
          <t>Grupos de activo</t>
        </is>
      </c>
    </row>
    <row r="76" outlineLevel="2">
      <c r="B76" s="13" t="inlineStr">
        <is>
          <t>15</t>
        </is>
      </c>
      <c r="C76" s="14" t="inlineStr">
        <is>
          <t>Propiedad, planta y equipo (flota — costo histórico)</t>
        </is>
      </c>
      <c r="D76" s="19" t="n">
        <v>163272913</v>
      </c>
      <c r="E76" s="19" t="n">
        <v>223272913</v>
      </c>
      <c r="F76" s="19" t="n">
        <v>223272913</v>
      </c>
      <c r="G76" s="19" t="n">
        <v>223755098</v>
      </c>
      <c r="H76" s="19" t="n">
        <v>223755098</v>
      </c>
      <c r="I76" s="19" t="n">
        <v>223755098</v>
      </c>
      <c r="J76" s="19" t="n">
        <v>228389698</v>
      </c>
      <c r="K76" s="15">
        <f>J76-K20</f>
        <v/>
      </c>
      <c r="L76" s="15">
        <f>K76-L20</f>
        <v/>
      </c>
      <c r="M76" s="15">
        <f>L76-M20</f>
        <v/>
      </c>
      <c r="N76" s="15">
        <f>M76-N20</f>
        <v/>
      </c>
      <c r="O76" s="15">
        <f>N76-O20</f>
        <v/>
      </c>
      <c r="P76" s="15">
        <f>O76-P20</f>
        <v/>
      </c>
      <c r="Q76" s="15">
        <f>P76-Q20</f>
        <v/>
      </c>
      <c r="R76" s="15">
        <f>Q76-R20</f>
        <v/>
      </c>
      <c r="S76" s="15">
        <f>R76-S20</f>
        <v/>
      </c>
      <c r="T76" s="15">
        <f>S76-T20</f>
        <v/>
      </c>
      <c r="U76" s="15">
        <f>T76-U20</f>
        <v/>
      </c>
      <c r="V76" s="15">
        <f>U76-V20</f>
        <v/>
      </c>
      <c r="W76" s="15">
        <f>V76-W20</f>
        <v/>
      </c>
      <c r="X76" s="15">
        <f>W76-X20</f>
        <v/>
      </c>
      <c r="Y76" s="15">
        <f>X76-Y20</f>
        <v/>
      </c>
      <c r="Z76" s="15">
        <f>Y76-Z20</f>
        <v/>
      </c>
      <c r="AA76" s="15">
        <f>Z76-AA20</f>
        <v/>
      </c>
      <c r="AB76" s="15">
        <f>AA76-AB20</f>
        <v/>
      </c>
      <c r="AC76" s="15">
        <f>AB76-AC20</f>
        <v/>
      </c>
      <c r="AD76" s="15">
        <f>AC76-AD20</f>
        <v/>
      </c>
    </row>
    <row r="77" outlineLevel="2">
      <c r="B77" s="13" t="inlineStr">
        <is>
          <t>159905</t>
        </is>
      </c>
      <c r="C77" s="14" t="inlineStr">
        <is>
          <t>Otros activos no corrientes</t>
        </is>
      </c>
      <c r="D77" s="19" t="n">
        <v>900000</v>
      </c>
      <c r="E77" s="19" t="n">
        <v>900000</v>
      </c>
      <c r="F77" s="19" t="n">
        <v>900000</v>
      </c>
      <c r="G77" s="19" t="n">
        <v>900000</v>
      </c>
      <c r="H77" s="19" t="n">
        <v>900000</v>
      </c>
      <c r="I77" s="19" t="n">
        <v>900000</v>
      </c>
      <c r="J77" s="19" t="n">
        <v>900000</v>
      </c>
      <c r="K77" s="15">
        <f>J77</f>
        <v/>
      </c>
      <c r="L77" s="15">
        <f>K77</f>
        <v/>
      </c>
      <c r="M77" s="15">
        <f>L77</f>
        <v/>
      </c>
      <c r="N77" s="15">
        <f>M77</f>
        <v/>
      </c>
      <c r="O77" s="15">
        <f>N77</f>
        <v/>
      </c>
      <c r="P77" s="15">
        <f>O77</f>
        <v/>
      </c>
      <c r="Q77" s="15">
        <f>P77</f>
        <v/>
      </c>
      <c r="R77" s="15">
        <f>Q77</f>
        <v/>
      </c>
      <c r="S77" s="15">
        <f>R77</f>
        <v/>
      </c>
      <c r="T77" s="15">
        <f>S77</f>
        <v/>
      </c>
      <c r="U77" s="15">
        <f>T77</f>
        <v/>
      </c>
      <c r="V77" s="15">
        <f>U77</f>
        <v/>
      </c>
      <c r="W77" s="15">
        <f>V77</f>
        <v/>
      </c>
      <c r="X77" s="15">
        <f>W77</f>
        <v/>
      </c>
      <c r="Y77" s="15">
        <f>X77</f>
        <v/>
      </c>
      <c r="Z77" s="15">
        <f>Y77</f>
        <v/>
      </c>
      <c r="AA77" s="15">
        <f>Z77</f>
        <v/>
      </c>
      <c r="AB77" s="15">
        <f>AA77</f>
        <v/>
      </c>
      <c r="AC77" s="15">
        <f>AB77</f>
        <v/>
      </c>
      <c r="AD77" s="15">
        <f>AC77</f>
        <v/>
      </c>
    </row>
    <row r="78" outlineLevel="2">
      <c r="B78" s="13" t="inlineStr">
        <is>
          <t>1592</t>
        </is>
      </c>
      <c r="C78" s="14" t="inlineStr">
        <is>
          <t>PPE — depreciación acumulada</t>
        </is>
      </c>
      <c r="D78" s="19" t="n">
        <v>-26473198</v>
      </c>
      <c r="E78" s="19" t="n">
        <v>-27512185</v>
      </c>
      <c r="F78" s="19" t="n">
        <v>-28551172</v>
      </c>
      <c r="G78" s="19" t="n">
        <v>-29590159</v>
      </c>
      <c r="H78" s="19" t="n">
        <v>-30629146</v>
      </c>
      <c r="I78" s="19" t="n">
        <v>-30629146</v>
      </c>
      <c r="J78" s="19" t="n">
        <v>-30629146</v>
      </c>
      <c r="K78" s="15">
        <f>J78+K60</f>
        <v/>
      </c>
      <c r="L78" s="15">
        <f>K78+L60</f>
        <v/>
      </c>
      <c r="M78" s="15">
        <f>L78+M60</f>
        <v/>
      </c>
      <c r="N78" s="15">
        <f>M78+N60</f>
        <v/>
      </c>
      <c r="O78" s="15">
        <f>N78+O60</f>
        <v/>
      </c>
      <c r="P78" s="15">
        <f>O78+P60</f>
        <v/>
      </c>
      <c r="Q78" s="15">
        <f>P78+Q60</f>
        <v/>
      </c>
      <c r="R78" s="15">
        <f>Q78+R60</f>
        <v/>
      </c>
      <c r="S78" s="15">
        <f>R78+S60</f>
        <v/>
      </c>
      <c r="T78" s="15">
        <f>S78+T60</f>
        <v/>
      </c>
      <c r="U78" s="15">
        <f>T78+U60</f>
        <v/>
      </c>
      <c r="V78" s="15">
        <f>U78+V60</f>
        <v/>
      </c>
      <c r="W78" s="15">
        <f>V78+W60</f>
        <v/>
      </c>
      <c r="X78" s="15">
        <f>W78+X60</f>
        <v/>
      </c>
      <c r="Y78" s="15">
        <f>X78+Y60</f>
        <v/>
      </c>
      <c r="Z78" s="15">
        <f>Y78+Z60</f>
        <v/>
      </c>
      <c r="AA78" s="15">
        <f>Z78+AA60</f>
        <v/>
      </c>
      <c r="AB78" s="15">
        <f>AA78+AB60</f>
        <v/>
      </c>
      <c r="AC78" s="15">
        <f>AB78+AC60</f>
        <v/>
      </c>
      <c r="AD78" s="15">
        <f>AC78+AD60</f>
        <v/>
      </c>
    </row>
    <row r="79" outlineLevel="2">
      <c r="B79" s="13" t="inlineStr">
        <is>
          <t>12</t>
        </is>
      </c>
      <c r="C79" s="14" t="inlineStr">
        <is>
          <t>Inversiones</t>
        </is>
      </c>
      <c r="D79" s="19" t="n">
        <v>28308882</v>
      </c>
      <c r="E79" s="19" t="n">
        <v>28308882</v>
      </c>
      <c r="F79" s="19" t="n">
        <v>58308882</v>
      </c>
      <c r="G79" s="19" t="n">
        <v>58308882</v>
      </c>
      <c r="H79" s="19" t="n">
        <v>58308882</v>
      </c>
      <c r="I79" s="19" t="n">
        <v>58308882</v>
      </c>
      <c r="J79" s="19" t="n">
        <v>58308882</v>
      </c>
      <c r="K79" s="15">
        <f>J79</f>
        <v/>
      </c>
      <c r="L79" s="15">
        <f>K79</f>
        <v/>
      </c>
      <c r="M79" s="15">
        <f>L79</f>
        <v/>
      </c>
      <c r="N79" s="15">
        <f>M79</f>
        <v/>
      </c>
      <c r="O79" s="15">
        <f>N79</f>
        <v/>
      </c>
      <c r="P79" s="15">
        <f>O79</f>
        <v/>
      </c>
      <c r="Q79" s="15">
        <f>P79</f>
        <v/>
      </c>
      <c r="R79" s="15">
        <f>Q79</f>
        <v/>
      </c>
      <c r="S79" s="15">
        <f>R79</f>
        <v/>
      </c>
      <c r="T79" s="15">
        <f>S79</f>
        <v/>
      </c>
      <c r="U79" s="15">
        <f>T79</f>
        <v/>
      </c>
      <c r="V79" s="15">
        <f>U79</f>
        <v/>
      </c>
      <c r="W79" s="15">
        <f>V79</f>
        <v/>
      </c>
      <c r="X79" s="15">
        <f>W79</f>
        <v/>
      </c>
      <c r="Y79" s="15">
        <f>X79</f>
        <v/>
      </c>
      <c r="Z79" s="15">
        <f>Y79</f>
        <v/>
      </c>
      <c r="AA79" s="15">
        <f>Z79</f>
        <v/>
      </c>
      <c r="AB79" s="15">
        <f>AA79</f>
        <v/>
      </c>
      <c r="AC79" s="15">
        <f>AB79</f>
        <v/>
      </c>
      <c r="AD79" s="15">
        <f>AC79</f>
        <v/>
      </c>
    </row>
    <row r="80" outlineLevel="2">
      <c r="B80" s="13" t="inlineStr">
        <is>
          <t>131015</t>
        </is>
      </c>
      <c r="C80" s="14" t="inlineStr">
        <is>
          <t>CxC accionistas (Kevin+Nick histórico — NO es cartera comercial; ver Vista Sombra)</t>
        </is>
      </c>
      <c r="D80" s="19" t="n">
        <v>87162000</v>
      </c>
      <c r="E80" s="19" t="n">
        <v>458369782</v>
      </c>
      <c r="F80" s="19" t="n">
        <v>454396897</v>
      </c>
      <c r="G80" s="19" t="n">
        <v>431332718</v>
      </c>
      <c r="H80" s="19" t="n">
        <v>426421208</v>
      </c>
      <c r="I80" s="19" t="n">
        <v>426633487</v>
      </c>
      <c r="J80" s="19" t="n">
        <v>81519795</v>
      </c>
      <c r="K80" s="15">
        <f>J80</f>
        <v/>
      </c>
      <c r="L80" s="15">
        <f>K80</f>
        <v/>
      </c>
      <c r="M80" s="15">
        <f>L80</f>
        <v/>
      </c>
      <c r="N80" s="15">
        <f>M80</f>
        <v/>
      </c>
      <c r="O80" s="15">
        <f>N80</f>
        <v/>
      </c>
      <c r="P80" s="15">
        <f>O80</f>
        <v/>
      </c>
      <c r="Q80" s="15">
        <f>P80</f>
        <v/>
      </c>
      <c r="R80" s="15">
        <f>Q80</f>
        <v/>
      </c>
      <c r="S80" s="15">
        <f>R80</f>
        <v/>
      </c>
      <c r="T80" s="15">
        <f>S80</f>
        <v/>
      </c>
      <c r="U80" s="15">
        <f>T80</f>
        <v/>
      </c>
      <c r="V80" s="15">
        <f>U80</f>
        <v/>
      </c>
      <c r="W80" s="15">
        <f>V80</f>
        <v/>
      </c>
      <c r="X80" s="15">
        <f>W80</f>
        <v/>
      </c>
      <c r="Y80" s="15">
        <f>X80</f>
        <v/>
      </c>
      <c r="Z80" s="15">
        <f>Y80</f>
        <v/>
      </c>
      <c r="AA80" s="15">
        <f>Z80</f>
        <v/>
      </c>
      <c r="AB80" s="15">
        <f>AA80</f>
        <v/>
      </c>
      <c r="AC80" s="15">
        <f>AB80</f>
        <v/>
      </c>
      <c r="AD80" s="15">
        <f>AC80</f>
        <v/>
      </c>
    </row>
    <row r="81" outlineLevel="2">
      <c r="B81" s="13" t="inlineStr">
        <is>
          <t>1435</t>
        </is>
      </c>
      <c r="C81" s="14" t="inlineStr">
        <is>
          <t>Inventarios</t>
        </is>
      </c>
      <c r="D81" s="19" t="n">
        <v>8198466</v>
      </c>
      <c r="E81" s="19" t="n">
        <v>7470091</v>
      </c>
      <c r="F81" s="19" t="n">
        <v>8002239</v>
      </c>
      <c r="G81" s="19" t="n">
        <v>8723439</v>
      </c>
      <c r="H81" s="19" t="n">
        <v>8580825</v>
      </c>
      <c r="I81" s="19" t="n">
        <v>8551917</v>
      </c>
      <c r="J81" s="19" t="n">
        <v>9878816</v>
      </c>
      <c r="K81" s="15">
        <f>J81-K14</f>
        <v/>
      </c>
      <c r="L81" s="15">
        <f>K81-L14</f>
        <v/>
      </c>
      <c r="M81" s="15">
        <f>L81-M14</f>
        <v/>
      </c>
      <c r="N81" s="15">
        <f>M81-N14</f>
        <v/>
      </c>
      <c r="O81" s="15">
        <f>N81-O14</f>
        <v/>
      </c>
      <c r="P81" s="15">
        <f>O81-P14</f>
        <v/>
      </c>
      <c r="Q81" s="15">
        <f>P81-Q14</f>
        <v/>
      </c>
      <c r="R81" s="15">
        <f>Q81-R14</f>
        <v/>
      </c>
      <c r="S81" s="15">
        <f>R81-S14</f>
        <v/>
      </c>
      <c r="T81" s="15">
        <f>S81-T14</f>
        <v/>
      </c>
      <c r="U81" s="15">
        <f>T81-U14</f>
        <v/>
      </c>
      <c r="V81" s="15">
        <f>U81-V14</f>
        <v/>
      </c>
      <c r="W81" s="15">
        <f>V81-W14</f>
        <v/>
      </c>
      <c r="X81" s="15">
        <f>W81-X14</f>
        <v/>
      </c>
      <c r="Y81" s="15">
        <f>X81-Y14</f>
        <v/>
      </c>
      <c r="Z81" s="15">
        <f>Y81-Z14</f>
        <v/>
      </c>
      <c r="AA81" s="15">
        <f>Z81-AA14</f>
        <v/>
      </c>
      <c r="AB81" s="15">
        <f>AA81-AB14</f>
        <v/>
      </c>
      <c r="AC81" s="15">
        <f>AB81-AC14</f>
        <v/>
      </c>
      <c r="AD81" s="15">
        <f>AC81-AD14</f>
        <v/>
      </c>
    </row>
    <row r="82" outlineLevel="2">
      <c r="B82" s="13" t="inlineStr">
        <is>
          <t>189505</t>
        </is>
      </c>
      <c r="C82" s="14" t="inlineStr">
        <is>
          <t>Otros activos corrientes</t>
        </is>
      </c>
      <c r="D82" s="19" t="n">
        <v>1104699</v>
      </c>
      <c r="E82" s="19" t="n">
        <v>1104699</v>
      </c>
      <c r="F82" s="19" t="n">
        <v>1104699</v>
      </c>
      <c r="G82" s="19" t="n">
        <v>1104699</v>
      </c>
      <c r="H82" s="19" t="n">
        <v>1104699</v>
      </c>
      <c r="I82" s="19" t="n">
        <v>1104699</v>
      </c>
      <c r="J82" s="19" t="n">
        <v>1104699</v>
      </c>
      <c r="K82" s="15">
        <f>J82</f>
        <v/>
      </c>
      <c r="L82" s="15">
        <f>K82</f>
        <v/>
      </c>
      <c r="M82" s="15">
        <f>L82</f>
        <v/>
      </c>
      <c r="N82" s="15">
        <f>M82</f>
        <v/>
      </c>
      <c r="O82" s="15">
        <f>N82</f>
        <v/>
      </c>
      <c r="P82" s="15">
        <f>O82</f>
        <v/>
      </c>
      <c r="Q82" s="15">
        <f>P82</f>
        <v/>
      </c>
      <c r="R82" s="15">
        <f>Q82</f>
        <v/>
      </c>
      <c r="S82" s="15">
        <f>R82</f>
        <v/>
      </c>
      <c r="T82" s="15">
        <f>S82</f>
        <v/>
      </c>
      <c r="U82" s="15">
        <f>T82</f>
        <v/>
      </c>
      <c r="V82" s="15">
        <f>U82</f>
        <v/>
      </c>
      <c r="W82" s="15">
        <f>V82</f>
        <v/>
      </c>
      <c r="X82" s="15">
        <f>W82</f>
        <v/>
      </c>
      <c r="Y82" s="15">
        <f>X82</f>
        <v/>
      </c>
      <c r="Z82" s="15">
        <f>Y82</f>
        <v/>
      </c>
      <c r="AA82" s="15">
        <f>Z82</f>
        <v/>
      </c>
      <c r="AB82" s="15">
        <f>AA82</f>
        <v/>
      </c>
      <c r="AC82" s="15">
        <f>AB82</f>
        <v/>
      </c>
      <c r="AD82" s="15">
        <f>AC82</f>
        <v/>
      </c>
    </row>
    <row r="83" outlineLevel="2">
      <c r="B83" s="13" t="inlineStr">
        <is>
          <t>11</t>
        </is>
      </c>
      <c r="C83" s="14" t="inlineStr">
        <is>
          <t>Efectivo y equivalentes de efectivo</t>
        </is>
      </c>
      <c r="D83" s="15">
        <f>D30</f>
        <v/>
      </c>
      <c r="E83" s="15">
        <f>E30</f>
        <v/>
      </c>
      <c r="F83" s="15">
        <f>F30</f>
        <v/>
      </c>
      <c r="G83" s="15">
        <f>G30</f>
        <v/>
      </c>
      <c r="H83" s="15">
        <f>H30</f>
        <v/>
      </c>
      <c r="I83" s="15">
        <f>I30</f>
        <v/>
      </c>
      <c r="J83" s="15">
        <f>J30</f>
        <v/>
      </c>
      <c r="K83" s="15">
        <f>K30</f>
        <v/>
      </c>
      <c r="L83" s="15">
        <f>L30</f>
        <v/>
      </c>
      <c r="M83" s="15">
        <f>M30</f>
        <v/>
      </c>
      <c r="N83" s="15">
        <f>N30</f>
        <v/>
      </c>
      <c r="O83" s="15">
        <f>O30</f>
        <v/>
      </c>
      <c r="P83" s="15">
        <f>P30</f>
        <v/>
      </c>
      <c r="Q83" s="15">
        <f>Q30</f>
        <v/>
      </c>
      <c r="R83" s="15">
        <f>R30</f>
        <v/>
      </c>
      <c r="S83" s="15">
        <f>S30</f>
        <v/>
      </c>
      <c r="T83" s="15">
        <f>T30</f>
        <v/>
      </c>
      <c r="U83" s="15">
        <f>U30</f>
        <v/>
      </c>
      <c r="V83" s="15">
        <f>V30</f>
        <v/>
      </c>
      <c r="W83" s="15">
        <f>W30</f>
        <v/>
      </c>
      <c r="X83" s="15">
        <f>X30</f>
        <v/>
      </c>
      <c r="Y83" s="15">
        <f>Y30</f>
        <v/>
      </c>
      <c r="Z83" s="15">
        <f>Z30</f>
        <v/>
      </c>
      <c r="AA83" s="15">
        <f>AA30</f>
        <v/>
      </c>
      <c r="AB83" s="15">
        <f>AB30</f>
        <v/>
      </c>
      <c r="AC83" s="15">
        <f>AC30</f>
        <v/>
      </c>
      <c r="AD83" s="15">
        <f>AD30</f>
        <v/>
      </c>
    </row>
    <row r="84" outlineLevel="2">
      <c r="B84" s="13" t="inlineStr">
        <is>
          <t>13-other</t>
        </is>
      </c>
      <c r="C84" s="14" t="inlineStr">
        <is>
          <t>Deudores (otras CxC)</t>
        </is>
      </c>
      <c r="D84" s="19" t="n">
        <v>378644957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5">
        <f>J84-K13</f>
        <v/>
      </c>
      <c r="L84" s="15">
        <f>K84-L13</f>
        <v/>
      </c>
      <c r="M84" s="15">
        <f>L84-M13</f>
        <v/>
      </c>
      <c r="N84" s="15">
        <f>M84-N13</f>
        <v/>
      </c>
      <c r="O84" s="15">
        <f>N84-O13</f>
        <v/>
      </c>
      <c r="P84" s="15">
        <f>O84-P13</f>
        <v/>
      </c>
      <c r="Q84" s="15">
        <f>P84-Q13</f>
        <v/>
      </c>
      <c r="R84" s="15">
        <f>Q84-R13</f>
        <v/>
      </c>
      <c r="S84" s="15">
        <f>R84-S13</f>
        <v/>
      </c>
      <c r="T84" s="15">
        <f>S84-T13</f>
        <v/>
      </c>
      <c r="U84" s="15">
        <f>T84-U13</f>
        <v/>
      </c>
      <c r="V84" s="15">
        <f>U84-V13</f>
        <v/>
      </c>
      <c r="W84" s="15">
        <f>V84-W13</f>
        <v/>
      </c>
      <c r="X84" s="15">
        <f>W84-X13</f>
        <v/>
      </c>
      <c r="Y84" s="15">
        <f>X84-Y13</f>
        <v/>
      </c>
      <c r="Z84" s="15">
        <f>Y84-Z13</f>
        <v/>
      </c>
      <c r="AA84" s="15">
        <f>Z84-AA13</f>
        <v/>
      </c>
      <c r="AB84" s="15">
        <f>AA84-AB13</f>
        <v/>
      </c>
      <c r="AC84" s="15">
        <f>AB84-AC13</f>
        <v/>
      </c>
      <c r="AD84" s="15">
        <f>AC84-AD13</f>
        <v/>
      </c>
    </row>
    <row r="85">
      <c r="B85" s="20" t="inlineStr"/>
      <c r="C85" s="20" t="inlineStr">
        <is>
          <t>TOTAL ACTIVOS</t>
        </is>
      </c>
      <c r="D85" s="21">
        <f>SUM(D76:D84)</f>
        <v/>
      </c>
      <c r="E85" s="21">
        <f>SUM(E76:E84)</f>
        <v/>
      </c>
      <c r="F85" s="21">
        <f>SUM(F76:F84)</f>
        <v/>
      </c>
      <c r="G85" s="21">
        <f>SUM(G76:G84)</f>
        <v/>
      </c>
      <c r="H85" s="21">
        <f>SUM(H76:H84)</f>
        <v/>
      </c>
      <c r="I85" s="21">
        <f>SUM(I76:I84)</f>
        <v/>
      </c>
      <c r="J85" s="21">
        <f>SUM(J76:J84)</f>
        <v/>
      </c>
      <c r="K85" s="21">
        <f>SUM(K76:K84)</f>
        <v/>
      </c>
      <c r="L85" s="21">
        <f>SUM(L76:L84)</f>
        <v/>
      </c>
      <c r="M85" s="21">
        <f>SUM(M76:M84)</f>
        <v/>
      </c>
      <c r="N85" s="21">
        <f>SUM(N76:N84)</f>
        <v/>
      </c>
      <c r="O85" s="21">
        <f>SUM(O76:O84)</f>
        <v/>
      </c>
      <c r="P85" s="21">
        <f>SUM(P76:P84)</f>
        <v/>
      </c>
      <c r="Q85" s="21">
        <f>SUM(Q76:Q84)</f>
        <v/>
      </c>
      <c r="R85" s="21">
        <f>SUM(R76:R84)</f>
        <v/>
      </c>
      <c r="S85" s="21">
        <f>SUM(S76:S84)</f>
        <v/>
      </c>
      <c r="T85" s="21">
        <f>SUM(T76:T84)</f>
        <v/>
      </c>
      <c r="U85" s="21">
        <f>SUM(U76:U84)</f>
        <v/>
      </c>
      <c r="V85" s="21">
        <f>SUM(V76:V84)</f>
        <v/>
      </c>
      <c r="W85" s="21">
        <f>SUM(W76:W84)</f>
        <v/>
      </c>
      <c r="X85" s="21">
        <f>SUM(X76:X84)</f>
        <v/>
      </c>
      <c r="Y85" s="21">
        <f>SUM(Y76:Y84)</f>
        <v/>
      </c>
      <c r="Z85" s="21">
        <f>SUM(Z76:Z84)</f>
        <v/>
      </c>
      <c r="AA85" s="21">
        <f>SUM(AA76:AA84)</f>
        <v/>
      </c>
      <c r="AB85" s="21">
        <f>SUM(AB76:AB84)</f>
        <v/>
      </c>
      <c r="AC85" s="21">
        <f>SUM(AC76:AC84)</f>
        <v/>
      </c>
      <c r="AD85" s="21">
        <f>SUM(AD76:AD84)</f>
        <v/>
      </c>
    </row>
    <row r="86">
      <c r="B86" s="26" t="inlineStr">
        <is>
          <t>2</t>
        </is>
      </c>
      <c r="C86" s="26" t="inlineStr">
        <is>
          <t>PASIVOS</t>
        </is>
      </c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</row>
    <row r="87" outlineLevel="1">
      <c r="C87" s="12" t="inlineStr">
        <is>
          <t>Grupos de pasivo</t>
        </is>
      </c>
    </row>
    <row r="88" outlineLevel="2">
      <c r="B88" s="13" t="inlineStr">
        <is>
          <t>22</t>
        </is>
      </c>
      <c r="C88" s="14" t="inlineStr">
        <is>
          <t>Cuentas por pagar</t>
        </is>
      </c>
      <c r="D88" s="19" t="n">
        <v>35907577</v>
      </c>
      <c r="E88" s="19" t="n">
        <v>52725556</v>
      </c>
      <c r="F88" s="19" t="n">
        <v>75807197</v>
      </c>
      <c r="G88" s="19" t="n">
        <v>50361759</v>
      </c>
      <c r="H88" s="19" t="n">
        <v>52483315</v>
      </c>
      <c r="I88" s="19" t="n">
        <v>54295032</v>
      </c>
      <c r="J88" s="19" t="n">
        <v>47523605</v>
      </c>
      <c r="K88" s="15">
        <f>J88+K15</f>
        <v/>
      </c>
      <c r="L88" s="15">
        <f>K88+L15</f>
        <v/>
      </c>
      <c r="M88" s="15">
        <f>L88+M15</f>
        <v/>
      </c>
      <c r="N88" s="15">
        <f>M88+N15</f>
        <v/>
      </c>
      <c r="O88" s="15">
        <f>N88+O15</f>
        <v/>
      </c>
      <c r="P88" s="15">
        <f>O88+P15</f>
        <v/>
      </c>
      <c r="Q88" s="15">
        <f>P88+Q15</f>
        <v/>
      </c>
      <c r="R88" s="15">
        <f>Q88+R15</f>
        <v/>
      </c>
      <c r="S88" s="15">
        <f>R88+S15</f>
        <v/>
      </c>
      <c r="T88" s="15">
        <f>S88+T15</f>
        <v/>
      </c>
      <c r="U88" s="15">
        <f>T88+U15</f>
        <v/>
      </c>
      <c r="V88" s="15">
        <f>U88+V15</f>
        <v/>
      </c>
      <c r="W88" s="15">
        <f>V88+W15</f>
        <v/>
      </c>
      <c r="X88" s="15">
        <f>W88+X15</f>
        <v/>
      </c>
      <c r="Y88" s="15">
        <f>X88+Y15</f>
        <v/>
      </c>
      <c r="Z88" s="15">
        <f>Y88+Z15</f>
        <v/>
      </c>
      <c r="AA88" s="15">
        <f>Z88+AA15</f>
        <v/>
      </c>
      <c r="AB88" s="15">
        <f>AA88+AB15</f>
        <v/>
      </c>
      <c r="AC88" s="15">
        <f>AB88+AC15</f>
        <v/>
      </c>
      <c r="AD88" s="15">
        <f>AC88+AD15</f>
        <v/>
      </c>
    </row>
    <row r="89" outlineLevel="2">
      <c r="B89" s="13" t="inlineStr">
        <is>
          <t>23/25</t>
        </is>
      </c>
      <c r="C89" s="14" t="inlineStr">
        <is>
          <t>Obligaciones laborales y de seguridad social</t>
        </is>
      </c>
      <c r="D89" s="19" t="n">
        <v>51486683</v>
      </c>
      <c r="E89" s="19" t="n">
        <v>70975808</v>
      </c>
      <c r="F89" s="19" t="n">
        <v>58149844</v>
      </c>
      <c r="G89" s="19" t="n">
        <v>55899419</v>
      </c>
      <c r="H89" s="19" t="n">
        <v>59134044</v>
      </c>
      <c r="I89" s="19" t="n">
        <v>41989267</v>
      </c>
      <c r="J89" s="19" t="n">
        <v>41200843</v>
      </c>
      <c r="K89" s="15">
        <f>J89+K16</f>
        <v/>
      </c>
      <c r="L89" s="15">
        <f>K89+L16</f>
        <v/>
      </c>
      <c r="M89" s="15">
        <f>L89+M16</f>
        <v/>
      </c>
      <c r="N89" s="15">
        <f>M89+N16</f>
        <v/>
      </c>
      <c r="O89" s="15">
        <f>N89+O16</f>
        <v/>
      </c>
      <c r="P89" s="15">
        <f>O89+P16</f>
        <v/>
      </c>
      <c r="Q89" s="15">
        <f>P89+Q16</f>
        <v/>
      </c>
      <c r="R89" s="15">
        <f>Q89+R16</f>
        <v/>
      </c>
      <c r="S89" s="15">
        <f>R89+S16</f>
        <v/>
      </c>
      <c r="T89" s="15">
        <f>S89+T16</f>
        <v/>
      </c>
      <c r="U89" s="15">
        <f>T89+U16</f>
        <v/>
      </c>
      <c r="V89" s="15">
        <f>U89+V16</f>
        <v/>
      </c>
      <c r="W89" s="15">
        <f>V89+W16</f>
        <v/>
      </c>
      <c r="X89" s="15">
        <f>W89+X16</f>
        <v/>
      </c>
      <c r="Y89" s="15">
        <f>X89+Y16</f>
        <v/>
      </c>
      <c r="Z89" s="15">
        <f>Y89+Z16</f>
        <v/>
      </c>
      <c r="AA89" s="15">
        <f>Z89+AA16</f>
        <v/>
      </c>
      <c r="AB89" s="15">
        <f>AA89+AB16</f>
        <v/>
      </c>
      <c r="AC89" s="15">
        <f>AB89+AC16</f>
        <v/>
      </c>
      <c r="AD89" s="15">
        <f>AC89+AD16</f>
        <v/>
      </c>
    </row>
    <row r="90" outlineLevel="2">
      <c r="B90" s="13" t="inlineStr">
        <is>
          <t>21</t>
        </is>
      </c>
      <c r="C90" s="14" t="inlineStr">
        <is>
          <t>Obligaciones financieras</t>
        </is>
      </c>
      <c r="D90" s="19" t="n">
        <v>311158654</v>
      </c>
      <c r="E90" s="19" t="n">
        <v>300807915</v>
      </c>
      <c r="F90" s="19" t="n">
        <v>287924354</v>
      </c>
      <c r="G90" s="19" t="n">
        <v>277833005</v>
      </c>
      <c r="H90" s="19" t="n">
        <v>266256115</v>
      </c>
      <c r="I90" s="19" t="n">
        <v>253045539</v>
      </c>
      <c r="J90" s="19" t="n">
        <v>243682843</v>
      </c>
      <c r="K90" s="15">
        <f>J90+K23</f>
        <v/>
      </c>
      <c r="L90" s="15">
        <f>K90+L23</f>
        <v/>
      </c>
      <c r="M90" s="15">
        <f>L90+M23</f>
        <v/>
      </c>
      <c r="N90" s="15">
        <f>M90+N23</f>
        <v/>
      </c>
      <c r="O90" s="15">
        <f>N90+O23</f>
        <v/>
      </c>
      <c r="P90" s="15">
        <f>O90+P23</f>
        <v/>
      </c>
      <c r="Q90" s="15">
        <f>P90+Q23</f>
        <v/>
      </c>
      <c r="R90" s="15">
        <f>Q90+R23</f>
        <v/>
      </c>
      <c r="S90" s="15">
        <f>R90+S23</f>
        <v/>
      </c>
      <c r="T90" s="15">
        <f>S90+T23</f>
        <v/>
      </c>
      <c r="U90" s="15">
        <f>T90+U23</f>
        <v/>
      </c>
      <c r="V90" s="15">
        <f>U90+V23</f>
        <v/>
      </c>
      <c r="W90" s="15">
        <f>V90+W23</f>
        <v/>
      </c>
      <c r="X90" s="15">
        <f>W90+X23</f>
        <v/>
      </c>
      <c r="Y90" s="15">
        <f>X90+Y23</f>
        <v/>
      </c>
      <c r="Z90" s="15">
        <f>Y90+Z23</f>
        <v/>
      </c>
      <c r="AA90" s="15">
        <f>Z90+AA23</f>
        <v/>
      </c>
      <c r="AB90" s="15">
        <f>AA90+AB23</f>
        <v/>
      </c>
      <c r="AC90" s="15">
        <f>AB90+AC23</f>
        <v/>
      </c>
      <c r="AD90" s="15">
        <f>AC90+AD23</f>
        <v/>
      </c>
    </row>
    <row r="91" outlineLevel="2">
      <c r="B91" s="13" t="inlineStr">
        <is>
          <t>24</t>
        </is>
      </c>
      <c r="C91" s="14" t="inlineStr">
        <is>
          <t>Pasivos por impuestos corrientes</t>
        </is>
      </c>
      <c r="D91" s="19" t="n">
        <v>31932667</v>
      </c>
      <c r="E91" s="19" t="n">
        <v>27271613</v>
      </c>
      <c r="F91" s="19" t="n">
        <v>23330619</v>
      </c>
      <c r="G91" s="19" t="n">
        <v>19306260</v>
      </c>
      <c r="H91" s="19" t="n">
        <v>11847500</v>
      </c>
      <c r="I91" s="19" t="n">
        <v>7500327</v>
      </c>
      <c r="J91" s="19" t="n">
        <v>3293370</v>
      </c>
      <c r="K91" s="15">
        <f>J91+K17</f>
        <v/>
      </c>
      <c r="L91" s="15">
        <f>K91+L17</f>
        <v/>
      </c>
      <c r="M91" s="15">
        <f>L91+M17</f>
        <v/>
      </c>
      <c r="N91" s="15">
        <f>M91+N17</f>
        <v/>
      </c>
      <c r="O91" s="15">
        <f>N91+O17</f>
        <v/>
      </c>
      <c r="P91" s="15">
        <f>O91+P17</f>
        <v/>
      </c>
      <c r="Q91" s="15">
        <f>P91+Q17</f>
        <v/>
      </c>
      <c r="R91" s="15">
        <f>Q91+R17</f>
        <v/>
      </c>
      <c r="S91" s="15">
        <f>R91+S17</f>
        <v/>
      </c>
      <c r="T91" s="15">
        <f>S91+T17</f>
        <v/>
      </c>
      <c r="U91" s="15">
        <f>T91+U17</f>
        <v/>
      </c>
      <c r="V91" s="15">
        <f>U91+V17</f>
        <v/>
      </c>
      <c r="W91" s="15">
        <f>V91+W17</f>
        <v/>
      </c>
      <c r="X91" s="15">
        <f>W91+X17</f>
        <v/>
      </c>
      <c r="Y91" s="15">
        <f>X91+Y17</f>
        <v/>
      </c>
      <c r="Z91" s="15">
        <f>Y91+Z17</f>
        <v/>
      </c>
      <c r="AA91" s="15">
        <f>Z91+AA17</f>
        <v/>
      </c>
      <c r="AB91" s="15">
        <f>AA91+AB17</f>
        <v/>
      </c>
      <c r="AC91" s="15">
        <f>AB91+AC17</f>
        <v/>
      </c>
      <c r="AD91" s="15">
        <f>AC91+AD17</f>
        <v/>
      </c>
    </row>
    <row r="92" outlineLevel="2">
      <c r="B92" s="13" t="inlineStr">
        <is>
          <t>29</t>
        </is>
      </c>
      <c r="C92" s="14" t="inlineStr">
        <is>
          <t>Otros pasivos corrientes</t>
        </is>
      </c>
      <c r="D92" s="19" t="n">
        <v>1196425</v>
      </c>
      <c r="E92" s="19" t="n">
        <v>1196425</v>
      </c>
      <c r="F92" s="19" t="n">
        <v>1196425</v>
      </c>
      <c r="G92" s="19" t="n">
        <v>1196425</v>
      </c>
      <c r="H92" s="19" t="n">
        <v>1196425</v>
      </c>
      <c r="I92" s="19" t="n">
        <v>1196425</v>
      </c>
      <c r="J92" s="19" t="n">
        <v>1196425</v>
      </c>
      <c r="K92" s="15">
        <f>J92</f>
        <v/>
      </c>
      <c r="L92" s="15">
        <f>K92</f>
        <v/>
      </c>
      <c r="M92" s="15">
        <f>L92</f>
        <v/>
      </c>
      <c r="N92" s="15">
        <f>M92</f>
        <v/>
      </c>
      <c r="O92" s="15">
        <f>N92</f>
        <v/>
      </c>
      <c r="P92" s="15">
        <f>O92</f>
        <v/>
      </c>
      <c r="Q92" s="15">
        <f>P92</f>
        <v/>
      </c>
      <c r="R92" s="15">
        <f>Q92</f>
        <v/>
      </c>
      <c r="S92" s="15">
        <f>R92</f>
        <v/>
      </c>
      <c r="T92" s="15">
        <f>S92</f>
        <v/>
      </c>
      <c r="U92" s="15">
        <f>T92</f>
        <v/>
      </c>
      <c r="V92" s="15">
        <f>U92</f>
        <v/>
      </c>
      <c r="W92" s="15">
        <f>V92</f>
        <v/>
      </c>
      <c r="X92" s="15">
        <f>W92</f>
        <v/>
      </c>
      <c r="Y92" s="15">
        <f>X92</f>
        <v/>
      </c>
      <c r="Z92" s="15">
        <f>Y92</f>
        <v/>
      </c>
      <c r="AA92" s="15">
        <f>Z92</f>
        <v/>
      </c>
      <c r="AB92" s="15">
        <f>AA92</f>
        <v/>
      </c>
      <c r="AC92" s="15">
        <f>AB92</f>
        <v/>
      </c>
      <c r="AD92" s="15">
        <f>AC92</f>
        <v/>
      </c>
    </row>
    <row r="93">
      <c r="B93" s="20" t="inlineStr"/>
      <c r="C93" s="20" t="inlineStr">
        <is>
          <t>TOTAL PASIVOS</t>
        </is>
      </c>
      <c r="D93" s="21">
        <f>SUM(D88:D92)</f>
        <v/>
      </c>
      <c r="E93" s="21">
        <f>SUM(E88:E92)</f>
        <v/>
      </c>
      <c r="F93" s="21">
        <f>SUM(F88:F92)</f>
        <v/>
      </c>
      <c r="G93" s="21">
        <f>SUM(G88:G92)</f>
        <v/>
      </c>
      <c r="H93" s="21">
        <f>SUM(H88:H92)</f>
        <v/>
      </c>
      <c r="I93" s="21">
        <f>SUM(I88:I92)</f>
        <v/>
      </c>
      <c r="J93" s="21">
        <f>SUM(J88:J92)</f>
        <v/>
      </c>
      <c r="K93" s="21">
        <f>SUM(K88:K92)</f>
        <v/>
      </c>
      <c r="L93" s="21">
        <f>SUM(L88:L92)</f>
        <v/>
      </c>
      <c r="M93" s="21">
        <f>SUM(M88:M92)</f>
        <v/>
      </c>
      <c r="N93" s="21">
        <f>SUM(N88:N92)</f>
        <v/>
      </c>
      <c r="O93" s="21">
        <f>SUM(O88:O92)</f>
        <v/>
      </c>
      <c r="P93" s="21">
        <f>SUM(P88:P92)</f>
        <v/>
      </c>
      <c r="Q93" s="21">
        <f>SUM(Q88:Q92)</f>
        <v/>
      </c>
      <c r="R93" s="21">
        <f>SUM(R88:R92)</f>
        <v/>
      </c>
      <c r="S93" s="21">
        <f>SUM(S88:S92)</f>
        <v/>
      </c>
      <c r="T93" s="21">
        <f>SUM(T88:T92)</f>
        <v/>
      </c>
      <c r="U93" s="21">
        <f>SUM(U88:U92)</f>
        <v/>
      </c>
      <c r="V93" s="21">
        <f>SUM(V88:V92)</f>
        <v/>
      </c>
      <c r="W93" s="21">
        <f>SUM(W88:W92)</f>
        <v/>
      </c>
      <c r="X93" s="21">
        <f>SUM(X88:X92)</f>
        <v/>
      </c>
      <c r="Y93" s="21">
        <f>SUM(Y88:Y92)</f>
        <v/>
      </c>
      <c r="Z93" s="21">
        <f>SUM(Z88:Z92)</f>
        <v/>
      </c>
      <c r="AA93" s="21">
        <f>SUM(AA88:AA92)</f>
        <v/>
      </c>
      <c r="AB93" s="21">
        <f>SUM(AB88:AB92)</f>
        <v/>
      </c>
      <c r="AC93" s="21">
        <f>SUM(AC88:AC92)</f>
        <v/>
      </c>
      <c r="AD93" s="21">
        <f>SUM(AD88:AD92)</f>
        <v/>
      </c>
    </row>
    <row r="94">
      <c r="B94" s="26" t="inlineStr">
        <is>
          <t>3</t>
        </is>
      </c>
      <c r="C94" s="26" t="inlineStr">
        <is>
          <t>PATRIMONIO</t>
        </is>
      </c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</row>
    <row r="95" outlineLevel="1">
      <c r="C95" s="12" t="inlineStr">
        <is>
          <t>Componentes de patrimonio</t>
        </is>
      </c>
    </row>
    <row r="96" outlineLevel="2">
      <c r="B96" s="13" t="inlineStr">
        <is>
          <t>31</t>
        </is>
      </c>
      <c r="C96" s="14" t="inlineStr">
        <is>
          <t>Capital social</t>
        </is>
      </c>
      <c r="D96" s="19" t="n">
        <v>8000000</v>
      </c>
      <c r="E96" s="19" t="n">
        <v>8000000</v>
      </c>
      <c r="F96" s="19" t="n">
        <v>8000000</v>
      </c>
      <c r="G96" s="19" t="n">
        <v>8000000</v>
      </c>
      <c r="H96" s="19" t="n">
        <v>8000000</v>
      </c>
      <c r="I96" s="19" t="n">
        <v>8000000</v>
      </c>
      <c r="J96" s="19" t="n">
        <v>8000000</v>
      </c>
      <c r="K96" s="15">
        <f>J96</f>
        <v/>
      </c>
      <c r="L96" s="15">
        <f>K96</f>
        <v/>
      </c>
      <c r="M96" s="15">
        <f>L96</f>
        <v/>
      </c>
      <c r="N96" s="15">
        <f>M96</f>
        <v/>
      </c>
      <c r="O96" s="15">
        <f>N96</f>
        <v/>
      </c>
      <c r="P96" s="15">
        <f>O96</f>
        <v/>
      </c>
      <c r="Q96" s="15">
        <f>P96</f>
        <v/>
      </c>
      <c r="R96" s="15">
        <f>Q96</f>
        <v/>
      </c>
      <c r="S96" s="15">
        <f>R96</f>
        <v/>
      </c>
      <c r="T96" s="15">
        <f>S96</f>
        <v/>
      </c>
      <c r="U96" s="15">
        <f>T96</f>
        <v/>
      </c>
      <c r="V96" s="15">
        <f>U96</f>
        <v/>
      </c>
      <c r="W96" s="15">
        <f>V96</f>
        <v/>
      </c>
      <c r="X96" s="15">
        <f>W96</f>
        <v/>
      </c>
      <c r="Y96" s="15">
        <f>X96</f>
        <v/>
      </c>
      <c r="Z96" s="15">
        <f>Y96</f>
        <v/>
      </c>
      <c r="AA96" s="15">
        <f>Z96</f>
        <v/>
      </c>
      <c r="AB96" s="15">
        <f>AA96</f>
        <v/>
      </c>
      <c r="AC96" s="15">
        <f>AB96</f>
        <v/>
      </c>
      <c r="AD96" s="15">
        <f>AC96</f>
        <v/>
      </c>
    </row>
    <row r="97" outlineLevel="2">
      <c r="B97" s="13" t="inlineStr">
        <is>
          <t>36</t>
        </is>
      </c>
      <c r="C97" s="14" t="inlineStr">
        <is>
          <t>Ganancias acumuladas</t>
        </is>
      </c>
      <c r="D97" s="19" t="n">
        <v>232780148</v>
      </c>
      <c r="E97" s="19" t="n">
        <v>232780148</v>
      </c>
      <c r="F97" s="19" t="n">
        <v>232780148</v>
      </c>
      <c r="G97" s="19" t="n">
        <v>232780148</v>
      </c>
      <c r="H97" s="19" t="n">
        <v>232780148</v>
      </c>
      <c r="I97" s="19" t="n">
        <v>232780148</v>
      </c>
      <c r="J97" s="19" t="n">
        <v>232780148</v>
      </c>
      <c r="K97" s="15">
        <f>J97</f>
        <v/>
      </c>
      <c r="L97" s="15">
        <f>K97</f>
        <v/>
      </c>
      <c r="M97" s="15">
        <f>L97</f>
        <v/>
      </c>
      <c r="N97" s="15">
        <f>M97</f>
        <v/>
      </c>
      <c r="O97" s="15">
        <f>N97</f>
        <v/>
      </c>
      <c r="P97" s="15">
        <f>O97</f>
        <v/>
      </c>
      <c r="Q97" s="15">
        <f>P97</f>
        <v/>
      </c>
      <c r="R97" s="15">
        <f>Q97</f>
        <v/>
      </c>
      <c r="S97" s="15">
        <f>R97</f>
        <v/>
      </c>
      <c r="T97" s="15">
        <f>S97</f>
        <v/>
      </c>
      <c r="U97" s="15">
        <f>T97</f>
        <v/>
      </c>
      <c r="V97" s="15">
        <f>U97</f>
        <v/>
      </c>
      <c r="W97" s="15">
        <f>V97</f>
        <v/>
      </c>
      <c r="X97" s="15">
        <f>W97</f>
        <v/>
      </c>
      <c r="Y97" s="15">
        <f>X97</f>
        <v/>
      </c>
      <c r="Z97" s="15">
        <f>Y97</f>
        <v/>
      </c>
      <c r="AA97" s="15">
        <f>Z97</f>
        <v/>
      </c>
      <c r="AB97" s="15">
        <f>AA97</f>
        <v/>
      </c>
      <c r="AC97" s="15">
        <f>AB97</f>
        <v/>
      </c>
      <c r="AD97" s="15">
        <f>AC97</f>
        <v/>
      </c>
    </row>
    <row r="98" outlineLevel="2">
      <c r="B98" s="13" t="inlineStr">
        <is>
          <t>37</t>
        </is>
      </c>
      <c r="C98" s="14" t="inlineStr">
        <is>
          <t>Ajustes iniciales en bancos / reclasificaciones (Edwin)</t>
        </is>
      </c>
      <c r="D98" s="19" t="n">
        <v>4240134</v>
      </c>
      <c r="E98" s="19" t="n">
        <v>8067534</v>
      </c>
      <c r="F98" s="19" t="n">
        <v>-44385853</v>
      </c>
      <c r="G98" s="19" t="n">
        <v>-49846114</v>
      </c>
      <c r="H98" s="19" t="n">
        <v>-46478246</v>
      </c>
      <c r="I98" s="19" t="n">
        <v>-62398779</v>
      </c>
      <c r="J98" s="19" t="n">
        <v>238584399</v>
      </c>
      <c r="K98" s="15">
        <f>J98</f>
        <v/>
      </c>
      <c r="L98" s="15">
        <f>K98</f>
        <v/>
      </c>
      <c r="M98" s="15">
        <f>L98</f>
        <v/>
      </c>
      <c r="N98" s="15">
        <f>M98</f>
        <v/>
      </c>
      <c r="O98" s="15">
        <f>N98</f>
        <v/>
      </c>
      <c r="P98" s="15">
        <f>O98</f>
        <v/>
      </c>
      <c r="Q98" s="15">
        <f>P98</f>
        <v/>
      </c>
      <c r="R98" s="15">
        <f>Q98</f>
        <v/>
      </c>
      <c r="S98" s="15">
        <f>R98</f>
        <v/>
      </c>
      <c r="T98" s="15">
        <f>S98</f>
        <v/>
      </c>
      <c r="U98" s="15">
        <f>T98</f>
        <v/>
      </c>
      <c r="V98" s="15">
        <f>U98</f>
        <v/>
      </c>
      <c r="W98" s="15">
        <f>V98</f>
        <v/>
      </c>
      <c r="X98" s="15">
        <f>W98</f>
        <v/>
      </c>
      <c r="Y98" s="15">
        <f>X98</f>
        <v/>
      </c>
      <c r="Z98" s="15">
        <f>Y98</f>
        <v/>
      </c>
      <c r="AA98" s="15">
        <f>Z98</f>
        <v/>
      </c>
      <c r="AB98" s="15">
        <f>AA98</f>
        <v/>
      </c>
      <c r="AC98" s="15">
        <f>AB98</f>
        <v/>
      </c>
      <c r="AD98" s="15">
        <f>AC98</f>
        <v/>
      </c>
    </row>
    <row r="99" outlineLevel="2">
      <c r="B99" s="13" t="inlineStr"/>
      <c r="C99" s="14" t="inlineStr">
        <is>
          <t>Resultado del ejercicio (ref. Estado de Resultados)</t>
        </is>
      </c>
      <c r="D99" s="15">
        <f>D68</f>
        <v/>
      </c>
      <c r="E99" s="15">
        <f>E68</f>
        <v/>
      </c>
      <c r="F99" s="15">
        <f>F68</f>
        <v/>
      </c>
      <c r="G99" s="15">
        <f>G68</f>
        <v/>
      </c>
      <c r="H99" s="15">
        <f>H68</f>
        <v/>
      </c>
      <c r="I99" s="15">
        <f>I68</f>
        <v/>
      </c>
      <c r="J99" s="15">
        <f>J68</f>
        <v/>
      </c>
      <c r="K99" s="15">
        <f>K68</f>
        <v/>
      </c>
      <c r="L99" s="15">
        <f>L68</f>
        <v/>
      </c>
      <c r="M99" s="15">
        <f>M68</f>
        <v/>
      </c>
      <c r="N99" s="15">
        <f>N68</f>
        <v/>
      </c>
      <c r="O99" s="15">
        <f>O68</f>
        <v/>
      </c>
      <c r="P99" s="15">
        <f>P68</f>
        <v/>
      </c>
      <c r="Q99" s="15">
        <f>Q68</f>
        <v/>
      </c>
      <c r="R99" s="15">
        <f>R68</f>
        <v/>
      </c>
      <c r="S99" s="15">
        <f>S68</f>
        <v/>
      </c>
      <c r="T99" s="15">
        <f>T68</f>
        <v/>
      </c>
      <c r="U99" s="15">
        <f>U68</f>
        <v/>
      </c>
      <c r="V99" s="15">
        <f>V68</f>
        <v/>
      </c>
      <c r="W99" s="15">
        <f>W68</f>
        <v/>
      </c>
      <c r="X99" s="15">
        <f>X68</f>
        <v/>
      </c>
      <c r="Y99" s="15">
        <f>Y68</f>
        <v/>
      </c>
      <c r="Z99" s="15">
        <f>Z68</f>
        <v/>
      </c>
      <c r="AA99" s="15">
        <f>AA68</f>
        <v/>
      </c>
      <c r="AB99" s="15">
        <f>AB68</f>
        <v/>
      </c>
      <c r="AC99" s="15">
        <f>AC68</f>
        <v/>
      </c>
      <c r="AD99" s="15">
        <f>AD68</f>
        <v/>
      </c>
    </row>
    <row r="100" outlineLevel="2">
      <c r="B100" s="13" t="inlineStr"/>
      <c r="C100" s="14" t="inlineStr">
        <is>
          <t>Otros ajustes de patrimonio (plug al patrimonio real reportado)</t>
        </is>
      </c>
      <c r="D100" s="15">
        <f>345003190-(SUM(D96:D98)+D99)</f>
        <v/>
      </c>
      <c r="E100" s="15">
        <f>282237668-(SUM(E96:E98)+E99)</f>
        <v/>
      </c>
      <c r="F100" s="15">
        <f>277963781-(SUM(F96:F98)+F99)</f>
        <v/>
      </c>
      <c r="G100" s="15">
        <f>313964106-(SUM(G96:G98)+G99)</f>
        <v/>
      </c>
      <c r="H100" s="15">
        <f>322695414-(SUM(H96:H98)+H99)</f>
        <v/>
      </c>
      <c r="I100" s="15">
        <f>361838351-(SUM(I96:I98)+I99)</f>
        <v/>
      </c>
      <c r="J100" s="15">
        <f>75338622-(SUM(J96:J98)+J99)</f>
        <v/>
      </c>
      <c r="K100" s="15">
        <f>J100+J99+K24</f>
        <v/>
      </c>
      <c r="L100" s="15">
        <f>K100+K99+L24</f>
        <v/>
      </c>
      <c r="M100" s="15">
        <f>L100+L99+M24</f>
        <v/>
      </c>
      <c r="N100" s="15">
        <f>M100+M99+N24</f>
        <v/>
      </c>
      <c r="O100" s="15">
        <f>N100+N99+O24</f>
        <v/>
      </c>
      <c r="P100" s="15">
        <f>O100+O99+P24</f>
        <v/>
      </c>
      <c r="Q100" s="15">
        <f>P100+P99+Q24</f>
        <v/>
      </c>
      <c r="R100" s="15">
        <f>Q100+Q99+R24</f>
        <v/>
      </c>
      <c r="S100" s="15">
        <f>R100+R99+S24</f>
        <v/>
      </c>
      <c r="T100" s="15">
        <f>S100+S99+T24</f>
        <v/>
      </c>
      <c r="U100" s="15">
        <f>T100+T99+U24</f>
        <v/>
      </c>
      <c r="V100" s="15">
        <f>U100+U99+V24</f>
        <v/>
      </c>
      <c r="W100" s="15">
        <f>V100+V99+W24</f>
        <v/>
      </c>
      <c r="X100" s="15">
        <f>W100+W99+X24</f>
        <v/>
      </c>
      <c r="Y100" s="15">
        <f>X100+X99+Y24</f>
        <v/>
      </c>
      <c r="Z100" s="15">
        <f>Y100+Y99+Z24</f>
        <v/>
      </c>
      <c r="AA100" s="15">
        <f>Z100+Z99+AA24</f>
        <v/>
      </c>
      <c r="AB100" s="15">
        <f>AA100+AA99+AB24</f>
        <v/>
      </c>
      <c r="AC100" s="15">
        <f>AB100+AB99+AC24</f>
        <v/>
      </c>
      <c r="AD100" s="15">
        <f>AC100+AC99+AD24</f>
        <v/>
      </c>
    </row>
    <row r="101">
      <c r="B101" s="20" t="inlineStr"/>
      <c r="C101" s="20" t="inlineStr">
        <is>
          <t>TOTAL PATRIMONIO</t>
        </is>
      </c>
      <c r="D101" s="21">
        <f>SUM(D96:D100)</f>
        <v/>
      </c>
      <c r="E101" s="21">
        <f>SUM(E96:E100)</f>
        <v/>
      </c>
      <c r="F101" s="21">
        <f>SUM(F96:F100)</f>
        <v/>
      </c>
      <c r="G101" s="21">
        <f>SUM(G96:G100)</f>
        <v/>
      </c>
      <c r="H101" s="21">
        <f>SUM(H96:H100)</f>
        <v/>
      </c>
      <c r="I101" s="21">
        <f>SUM(I96:I100)</f>
        <v/>
      </c>
      <c r="J101" s="21">
        <f>SUM(J96:J100)</f>
        <v/>
      </c>
      <c r="K101" s="21">
        <f>SUM(K96:K100)</f>
        <v/>
      </c>
      <c r="L101" s="21">
        <f>SUM(L96:L100)</f>
        <v/>
      </c>
      <c r="M101" s="21">
        <f>SUM(M96:M100)</f>
        <v/>
      </c>
      <c r="N101" s="21">
        <f>SUM(N96:N100)</f>
        <v/>
      </c>
      <c r="O101" s="21">
        <f>SUM(O96:O100)</f>
        <v/>
      </c>
      <c r="P101" s="21">
        <f>SUM(P96:P100)</f>
        <v/>
      </c>
      <c r="Q101" s="21">
        <f>SUM(Q96:Q100)</f>
        <v/>
      </c>
      <c r="R101" s="21">
        <f>SUM(R96:R100)</f>
        <v/>
      </c>
      <c r="S101" s="21">
        <f>SUM(S96:S100)</f>
        <v/>
      </c>
      <c r="T101" s="21">
        <f>SUM(T96:T100)</f>
        <v/>
      </c>
      <c r="U101" s="21">
        <f>SUM(U96:U100)</f>
        <v/>
      </c>
      <c r="V101" s="21">
        <f>SUM(V96:V100)</f>
        <v/>
      </c>
      <c r="W101" s="21">
        <f>SUM(W96:W100)</f>
        <v/>
      </c>
      <c r="X101" s="21">
        <f>SUM(X96:X100)</f>
        <v/>
      </c>
      <c r="Y101" s="21">
        <f>SUM(Y96:Y100)</f>
        <v/>
      </c>
      <c r="Z101" s="21">
        <f>SUM(Z96:Z100)</f>
        <v/>
      </c>
      <c r="AA101" s="21">
        <f>SUM(AA96:AA100)</f>
        <v/>
      </c>
      <c r="AB101" s="21">
        <f>SUM(AB96:AB100)</f>
        <v/>
      </c>
      <c r="AC101" s="21">
        <f>SUM(AC96:AC100)</f>
        <v/>
      </c>
      <c r="AD101" s="21">
        <f>SUM(AD96:AD100)</f>
        <v/>
      </c>
    </row>
    <row r="102">
      <c r="B102" s="20" t="inlineStr"/>
      <c r="C102" s="20" t="inlineStr">
        <is>
          <t>TOTAL PASIVO Y PATRIMONIO</t>
        </is>
      </c>
      <c r="D102" s="21">
        <f>D93+D101</f>
        <v/>
      </c>
      <c r="E102" s="21">
        <f>E93+E101</f>
        <v/>
      </c>
      <c r="F102" s="21">
        <f>F93+F101</f>
        <v/>
      </c>
      <c r="G102" s="21">
        <f>G93+G101</f>
        <v/>
      </c>
      <c r="H102" s="21">
        <f>H93+H101</f>
        <v/>
      </c>
      <c r="I102" s="21">
        <f>I93+I101</f>
        <v/>
      </c>
      <c r="J102" s="21">
        <f>J93+J101</f>
        <v/>
      </c>
      <c r="K102" s="21">
        <f>K93+K101</f>
        <v/>
      </c>
      <c r="L102" s="21">
        <f>L93+L101</f>
        <v/>
      </c>
      <c r="M102" s="21">
        <f>M93+M101</f>
        <v/>
      </c>
      <c r="N102" s="21">
        <f>N93+N101</f>
        <v/>
      </c>
      <c r="O102" s="21">
        <f>O93+O101</f>
        <v/>
      </c>
      <c r="P102" s="21">
        <f>P93+P101</f>
        <v/>
      </c>
      <c r="Q102" s="21">
        <f>Q93+Q101</f>
        <v/>
      </c>
      <c r="R102" s="21">
        <f>R93+R101</f>
        <v/>
      </c>
      <c r="S102" s="21">
        <f>S93+S101</f>
        <v/>
      </c>
      <c r="T102" s="21">
        <f>T93+T101</f>
        <v/>
      </c>
      <c r="U102" s="21">
        <f>U93+U101</f>
        <v/>
      </c>
      <c r="V102" s="21">
        <f>V93+V101</f>
        <v/>
      </c>
      <c r="W102" s="21">
        <f>W93+W101</f>
        <v/>
      </c>
      <c r="X102" s="21">
        <f>X93+X101</f>
        <v/>
      </c>
      <c r="Y102" s="21">
        <f>Y93+Y101</f>
        <v/>
      </c>
      <c r="Z102" s="21">
        <f>Z93+Z101</f>
        <v/>
      </c>
      <c r="AA102" s="21">
        <f>AA93+AA101</f>
        <v/>
      </c>
      <c r="AB102" s="21">
        <f>AB93+AB101</f>
        <v/>
      </c>
      <c r="AC102" s="21">
        <f>AC93+AC101</f>
        <v/>
      </c>
      <c r="AD102" s="21">
        <f>AD93+AD101</f>
        <v/>
      </c>
    </row>
    <row r="103" outlineLevel="1">
      <c r="B103" s="13" t="inlineStr"/>
      <c r="C103" s="22" t="inlineStr">
        <is>
          <t>Comprobación: Activos = Pasivo + Patrimonio</t>
        </is>
      </c>
      <c r="D103" s="31">
        <f>IF(ABS(D85-D102)&lt;1000,"OK","Break: "&amp;TEXT(D85-D102,"#,##0"))</f>
        <v/>
      </c>
      <c r="E103" s="31">
        <f>IF(ABS(E85-E102)&lt;1000,"OK","Break: "&amp;TEXT(E85-E102,"#,##0"))</f>
        <v/>
      </c>
      <c r="F103" s="31">
        <f>IF(ABS(F85-F102)&lt;1000,"OK","Break: "&amp;TEXT(F85-F102,"#,##0"))</f>
        <v/>
      </c>
      <c r="G103" s="31">
        <f>IF(ABS(G85-G102)&lt;1000,"OK","Break: "&amp;TEXT(G85-G102,"#,##0"))</f>
        <v/>
      </c>
      <c r="H103" s="31">
        <f>IF(ABS(H85-H102)&lt;1000,"OK","Break: "&amp;TEXT(H85-H102,"#,##0"))</f>
        <v/>
      </c>
      <c r="I103" s="31">
        <f>IF(ABS(I85-I102)&lt;1000,"OK","Break: "&amp;TEXT(I85-I102,"#,##0"))</f>
        <v/>
      </c>
      <c r="J103" s="31">
        <f>IF(ABS(J85-J102)&lt;1000,"OK","Break: "&amp;TEXT(J85-J102,"#,##0"))</f>
        <v/>
      </c>
      <c r="K103" s="31">
        <f>IF(ABS(K85-K102)&lt;1000,"OK","Break: "&amp;TEXT(K85-K102,"#,##0"))</f>
        <v/>
      </c>
      <c r="L103" s="31">
        <f>IF(ABS(L85-L102)&lt;1000,"OK","Break: "&amp;TEXT(L85-L102,"#,##0"))</f>
        <v/>
      </c>
      <c r="M103" s="31">
        <f>IF(ABS(M85-M102)&lt;1000,"OK","Break: "&amp;TEXT(M85-M102,"#,##0"))</f>
        <v/>
      </c>
      <c r="N103" s="31">
        <f>IF(ABS(N85-N102)&lt;1000,"OK","Break: "&amp;TEXT(N85-N102,"#,##0"))</f>
        <v/>
      </c>
      <c r="O103" s="31">
        <f>IF(ABS(O85-O102)&lt;1000,"OK","Break: "&amp;TEXT(O85-O102,"#,##0"))</f>
        <v/>
      </c>
      <c r="P103" s="31">
        <f>IF(ABS(P85-P102)&lt;1000,"OK","Break: "&amp;TEXT(P85-P102,"#,##0"))</f>
        <v/>
      </c>
      <c r="Q103" s="31">
        <f>IF(ABS(Q85-Q102)&lt;1000,"OK","Break: "&amp;TEXT(Q85-Q102,"#,##0"))</f>
        <v/>
      </c>
      <c r="R103" s="31">
        <f>IF(ABS(R85-R102)&lt;1000,"OK","Break: "&amp;TEXT(R85-R102,"#,##0"))</f>
        <v/>
      </c>
      <c r="S103" s="31">
        <f>IF(ABS(S85-S102)&lt;1000,"OK","Break: "&amp;TEXT(S85-S102,"#,##0"))</f>
        <v/>
      </c>
      <c r="T103" s="31">
        <f>IF(ABS(T85-T102)&lt;1000,"OK","Break: "&amp;TEXT(T85-T102,"#,##0"))</f>
        <v/>
      </c>
      <c r="U103" s="31">
        <f>IF(ABS(U85-U102)&lt;1000,"OK","Break: "&amp;TEXT(U85-U102,"#,##0"))</f>
        <v/>
      </c>
      <c r="V103" s="31">
        <f>IF(ABS(V85-V102)&lt;1000,"OK","Break: "&amp;TEXT(V85-V102,"#,##0"))</f>
        <v/>
      </c>
      <c r="W103" s="31">
        <f>IF(ABS(W85-W102)&lt;1000,"OK","Break: "&amp;TEXT(W85-W102,"#,##0"))</f>
        <v/>
      </c>
      <c r="X103" s="31">
        <f>IF(ABS(X85-X102)&lt;1000,"OK","Break: "&amp;TEXT(X85-X102,"#,##0"))</f>
        <v/>
      </c>
      <c r="Y103" s="31">
        <f>IF(ABS(Y85-Y102)&lt;1000,"OK","Break: "&amp;TEXT(Y85-Y102,"#,##0"))</f>
        <v/>
      </c>
      <c r="Z103" s="31">
        <f>IF(ABS(Z85-Z102)&lt;1000,"OK","Break: "&amp;TEXT(Z85-Z102,"#,##0"))</f>
        <v/>
      </c>
      <c r="AA103" s="31">
        <f>IF(ABS(AA85-AA102)&lt;1000,"OK","Break: "&amp;TEXT(AA85-AA102,"#,##0"))</f>
        <v/>
      </c>
      <c r="AB103" s="31">
        <f>IF(ABS(AB85-AB102)&lt;1000,"OK","Break: "&amp;TEXT(AB85-AB102,"#,##0"))</f>
        <v/>
      </c>
      <c r="AC103" s="31">
        <f>IF(ABS(AC85-AC102)&lt;1000,"OK","Break: "&amp;TEXT(AC85-AC102,"#,##0"))</f>
        <v/>
      </c>
      <c r="AD103" s="31">
        <f>IF(ABS(AD85-AD102)&lt;1000,"OK","Break: "&amp;TEXT(AD85-AD102,"#,##0"))</f>
        <v/>
      </c>
    </row>
    <row r="105">
      <c r="B105" s="32" t="inlineStr">
        <is>
          <t>4. VISTA SOMBRA — dónde DEBERÍAN estar las cosas · base gerencial, NO estatutaria</t>
        </is>
      </c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  <c r="AA105" s="33" t="n"/>
      <c r="AB105" s="33" t="n"/>
      <c r="AC105" s="33" t="n"/>
      <c r="AD105" s="33" t="n"/>
    </row>
    <row r="106" outlineLevel="1">
      <c r="C106" s="8" t="inlineStr">
        <is>
          <t>Cada línea lleva su propia nota. Nunca se postea a libros ni es base tributaria.</t>
        </is>
      </c>
    </row>
    <row r="107">
      <c r="B107" s="26" t="inlineStr"/>
      <c r="C107" s="26" t="inlineStr">
        <is>
          <t>4A. Deuda real de la embarcación Sonata vs. libros — LIQUIDADA, informativa</t>
        </is>
      </c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</row>
    <row r="108" outlineLevel="1">
      <c r="C108" s="12" t="inlineStr">
        <is>
          <t>Conciliación de la deuda de la embarcación</t>
        </is>
      </c>
    </row>
    <row r="109" outlineLevel="2">
      <c r="B109" s="13" t="inlineStr">
        <is>
          <t>15</t>
        </is>
      </c>
      <c r="C109" s="14" t="inlineStr">
        <is>
          <t>Velero Sonata — valor en libros de la flota (un activo, no la deuda)</t>
        </is>
      </c>
      <c r="D109" s="19" t="n">
        <v>74180754</v>
      </c>
      <c r="E109" s="19" t="n">
        <v>74180754</v>
      </c>
      <c r="F109" s="19" t="n">
        <v>74180754</v>
      </c>
      <c r="G109" s="19" t="n">
        <v>74180754</v>
      </c>
      <c r="H109" s="19" t="n">
        <v>74180754</v>
      </c>
      <c r="I109" s="19" t="n">
        <v>74180754</v>
      </c>
      <c r="J109" s="19" t="n">
        <v>74180754</v>
      </c>
      <c r="K109" s="16" t="n">
        <v>37090377</v>
      </c>
      <c r="L109" s="16" t="n">
        <v>37090377</v>
      </c>
      <c r="M109" s="16" t="n">
        <v>37090377</v>
      </c>
      <c r="N109" s="16" t="n">
        <v>37090377</v>
      </c>
      <c r="O109" s="16" t="n">
        <v>37090377</v>
      </c>
      <c r="P109" s="16" t="n">
        <v>37090377</v>
      </c>
      <c r="Q109" s="17" t="n">
        <v>74180754</v>
      </c>
      <c r="R109" s="17" t="n">
        <v>74180754</v>
      </c>
      <c r="S109" s="17" t="n">
        <v>74180754</v>
      </c>
      <c r="T109" s="17" t="n">
        <v>74180754</v>
      </c>
      <c r="U109" s="17" t="n">
        <v>74180754</v>
      </c>
      <c r="V109" s="17" t="n">
        <v>74180754</v>
      </c>
      <c r="W109" s="17" t="n">
        <v>74180754</v>
      </c>
      <c r="X109" s="17" t="n">
        <v>74180754</v>
      </c>
      <c r="Y109" s="17" t="n">
        <v>74180754</v>
      </c>
      <c r="Z109" s="17" t="n">
        <v>74180754</v>
      </c>
      <c r="AA109" s="17" t="n">
        <v>74180754</v>
      </c>
      <c r="AB109" s="17" t="n">
        <v>74180754</v>
      </c>
      <c r="AC109" s="17" t="n">
        <v>74180754</v>
      </c>
      <c r="AD109" s="17" t="n">
        <v>74180754</v>
      </c>
    </row>
    <row r="110" outlineLevel="2">
      <c r="B110" s="13" t="inlineStr"/>
      <c r="C110" s="14" t="inlineStr">
        <is>
          <t>Total pagado a Kevin Oct-2022→Feb-2026, equiv. USD (TRM histórica real)</t>
        </is>
      </c>
      <c r="D110" s="19" t="n">
        <v>98132</v>
      </c>
      <c r="E110" s="19" t="n">
        <v>98132</v>
      </c>
      <c r="F110" s="19" t="n">
        <v>98132</v>
      </c>
      <c r="G110" s="19" t="n">
        <v>98132</v>
      </c>
      <c r="H110" s="19" t="n">
        <v>98132</v>
      </c>
      <c r="I110" s="19" t="n">
        <v>98132</v>
      </c>
      <c r="J110" s="19" t="n">
        <v>98132</v>
      </c>
      <c r="K110" s="16" t="n">
        <v>49066</v>
      </c>
      <c r="L110" s="16" t="n">
        <v>49066</v>
      </c>
      <c r="M110" s="16" t="n">
        <v>49066</v>
      </c>
      <c r="N110" s="16" t="n">
        <v>49066</v>
      </c>
      <c r="O110" s="16" t="n">
        <v>49066</v>
      </c>
      <c r="P110" s="16" t="n">
        <v>49066</v>
      </c>
      <c r="Q110" s="17" t="n">
        <v>98132</v>
      </c>
      <c r="R110" s="17" t="n">
        <v>98132</v>
      </c>
      <c r="S110" s="17" t="n">
        <v>98132</v>
      </c>
      <c r="T110" s="17" t="n">
        <v>98132</v>
      </c>
      <c r="U110" s="17" t="n">
        <v>98132</v>
      </c>
      <c r="V110" s="17" t="n">
        <v>98132</v>
      </c>
      <c r="W110" s="17" t="n">
        <v>98132</v>
      </c>
      <c r="X110" s="17" t="n">
        <v>98132</v>
      </c>
      <c r="Y110" s="17" t="n">
        <v>98132</v>
      </c>
      <c r="Z110" s="17" t="n">
        <v>98132</v>
      </c>
      <c r="AA110" s="17" t="n">
        <v>98132</v>
      </c>
      <c r="AB110" s="17" t="n">
        <v>98132</v>
      </c>
      <c r="AC110" s="17" t="n">
        <v>98132</v>
      </c>
      <c r="AD110" s="17" t="n">
        <v>98132</v>
      </c>
    </row>
    <row r="111" outlineLevel="2">
      <c r="B111" s="13" t="inlineStr"/>
      <c r="C111" s="14" t="inlineStr">
        <is>
          <t>Capital original de la financiación (Kevin, USD @ 6%, pausado en covid)</t>
        </is>
      </c>
      <c r="D111" s="19" t="n">
        <v>100000</v>
      </c>
      <c r="E111" s="19" t="n">
        <v>100000</v>
      </c>
      <c r="F111" s="19" t="n">
        <v>100000</v>
      </c>
      <c r="G111" s="19" t="n">
        <v>100000</v>
      </c>
      <c r="H111" s="19" t="n">
        <v>100000</v>
      </c>
      <c r="I111" s="19" t="n">
        <v>100000</v>
      </c>
      <c r="J111" s="19" t="n">
        <v>100000</v>
      </c>
      <c r="K111" s="16" t="n">
        <v>50000</v>
      </c>
      <c r="L111" s="16" t="n">
        <v>50000</v>
      </c>
      <c r="M111" s="16" t="n">
        <v>50000</v>
      </c>
      <c r="N111" s="16" t="n">
        <v>50000</v>
      </c>
      <c r="O111" s="16" t="n">
        <v>50000</v>
      </c>
      <c r="P111" s="16" t="n">
        <v>50000</v>
      </c>
      <c r="Q111" s="17" t="n">
        <v>100000</v>
      </c>
      <c r="R111" s="17" t="n">
        <v>100000</v>
      </c>
      <c r="S111" s="17" t="n">
        <v>100000</v>
      </c>
      <c r="T111" s="17" t="n">
        <v>100000</v>
      </c>
      <c r="U111" s="17" t="n">
        <v>100000</v>
      </c>
      <c r="V111" s="17" t="n">
        <v>100000</v>
      </c>
      <c r="W111" s="17" t="n">
        <v>100000</v>
      </c>
      <c r="X111" s="17" t="n">
        <v>100000</v>
      </c>
      <c r="Y111" s="17" t="n">
        <v>100000</v>
      </c>
      <c r="Z111" s="17" t="n">
        <v>100000</v>
      </c>
      <c r="AA111" s="17" t="n">
        <v>100000</v>
      </c>
      <c r="AB111" s="17" t="n">
        <v>100000</v>
      </c>
      <c r="AC111" s="17" t="n">
        <v>100000</v>
      </c>
      <c r="AD111" s="17" t="n">
        <v>100000</v>
      </c>
    </row>
    <row r="112" outlineLevel="2">
      <c r="B112" s="13" t="inlineStr"/>
      <c r="C112" s="14" t="inlineStr">
        <is>
          <t xml:space="preserve">  Diferencia vs. capital original (USD) — dentro del margen TRM prom-vs-diaria</t>
        </is>
      </c>
      <c r="D112" s="19" t="n">
        <v>-1868</v>
      </c>
      <c r="E112" s="19" t="n">
        <v>-1868</v>
      </c>
      <c r="F112" s="19" t="n">
        <v>-1868</v>
      </c>
      <c r="G112" s="19" t="n">
        <v>-1868</v>
      </c>
      <c r="H112" s="19" t="n">
        <v>-1868</v>
      </c>
      <c r="I112" s="19" t="n">
        <v>-1868</v>
      </c>
      <c r="J112" s="19" t="n">
        <v>-1868</v>
      </c>
      <c r="K112" s="16" t="n">
        <v>-934</v>
      </c>
      <c r="L112" s="16" t="n">
        <v>-934</v>
      </c>
      <c r="M112" s="16" t="n">
        <v>-934</v>
      </c>
      <c r="N112" s="16" t="n">
        <v>-934</v>
      </c>
      <c r="O112" s="16" t="n">
        <v>-934</v>
      </c>
      <c r="P112" s="16" t="n">
        <v>-934</v>
      </c>
      <c r="Q112" s="17" t="n">
        <v>-1868</v>
      </c>
      <c r="R112" s="17" t="n">
        <v>-1868</v>
      </c>
      <c r="S112" s="17" t="n">
        <v>-1868</v>
      </c>
      <c r="T112" s="17" t="n">
        <v>-1868</v>
      </c>
      <c r="U112" s="17" t="n">
        <v>-1868</v>
      </c>
      <c r="V112" s="17" t="n">
        <v>-1868</v>
      </c>
      <c r="W112" s="17" t="n">
        <v>-1868</v>
      </c>
      <c r="X112" s="17" t="n">
        <v>-1868</v>
      </c>
      <c r="Y112" s="17" t="n">
        <v>-1868</v>
      </c>
      <c r="Z112" s="17" t="n">
        <v>-1868</v>
      </c>
      <c r="AA112" s="17" t="n">
        <v>-1868</v>
      </c>
      <c r="AB112" s="17" t="n">
        <v>-1868</v>
      </c>
      <c r="AC112" s="17" t="n">
        <v>-1868</v>
      </c>
      <c r="AD112" s="17" t="n">
        <v>-1868</v>
      </c>
    </row>
    <row r="113" outlineLevel="1">
      <c r="C113" s="8" t="inlineStr">
        <is>
          <t>Diferencia de solo -1,868 USD (-1.9%). Deuda liquidada en su totalidad Feb-2026 — histórica/informativa, sin impacto futuro. §4A CERRADA según Kevin.</t>
        </is>
      </c>
    </row>
    <row r="114">
      <c r="B114" s="26" t="inlineStr"/>
      <c r="C114" s="26" t="inlineStr">
        <is>
          <t>4B. Compensación de Kevin — Libro 1: paridad de alzas RETROACTIVA (la empresa le debe a Kevin)</t>
        </is>
      </c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</row>
    <row r="115" outlineLevel="1">
      <c r="C115" s="8" t="inlineStr">
        <is>
          <t>Base 1,300,000/mes desde Feb-2024; las dos alzas reales de Nick aplicadas en sus fechas/%: Ene-2025 →1,423,381 (+9.4908%), Ene-2026 →1,552,353 (+9.0610%). Dragon Lady (Jul-Sep 2025) excluido (acta 2026-08-03).</t>
        </is>
      </c>
    </row>
    <row r="116" outlineLevel="2">
      <c r="B116" s="13" t="inlineStr"/>
      <c r="C116" s="22" t="inlineStr">
        <is>
          <t>Acumulado adeudado a Kevin, arrastrado Feb-2024→Dic-2025</t>
        </is>
      </c>
      <c r="D116" s="19" t="n">
        <v>5010429</v>
      </c>
      <c r="E116" s="19" t="n">
        <v>5010429</v>
      </c>
      <c r="F116" s="19" t="n">
        <v>5010429</v>
      </c>
      <c r="G116" s="19" t="n">
        <v>5010429</v>
      </c>
      <c r="H116" s="19" t="n">
        <v>5010429</v>
      </c>
      <c r="I116" s="19" t="n">
        <v>5010429</v>
      </c>
      <c r="J116" s="19" t="n">
        <v>5010429</v>
      </c>
      <c r="K116" s="16" t="n">
        <v>2505214</v>
      </c>
      <c r="L116" s="16" t="n">
        <v>2505215</v>
      </c>
      <c r="M116" s="16" t="n">
        <v>2505214</v>
      </c>
      <c r="N116" s="16" t="n">
        <v>2505215</v>
      </c>
      <c r="O116" s="16" t="n">
        <v>2505214</v>
      </c>
      <c r="P116" s="16" t="n">
        <v>2505215</v>
      </c>
      <c r="Q116" s="17" t="n">
        <v>5010429</v>
      </c>
      <c r="R116" s="17" t="n">
        <v>5010429</v>
      </c>
      <c r="S116" s="17" t="n">
        <v>5010429</v>
      </c>
      <c r="T116" s="17" t="n">
        <v>5010429</v>
      </c>
      <c r="U116" s="17" t="n">
        <v>5010429</v>
      </c>
      <c r="V116" s="17" t="n">
        <v>5010429</v>
      </c>
      <c r="W116" s="17" t="n">
        <v>5010429</v>
      </c>
      <c r="X116" s="17" t="n">
        <v>5010429</v>
      </c>
      <c r="Y116" s="17" t="n">
        <v>5010429</v>
      </c>
      <c r="Z116" s="17" t="n">
        <v>5010429</v>
      </c>
      <c r="AA116" s="17" t="n">
        <v>5010429</v>
      </c>
      <c r="AB116" s="17" t="n">
        <v>5010429</v>
      </c>
      <c r="AC116" s="17" t="n">
        <v>5010429</v>
      </c>
      <c r="AD116" s="17" t="n">
        <v>5010429</v>
      </c>
    </row>
    <row r="117" outlineLevel="2">
      <c r="B117" s="13" t="inlineStr"/>
      <c r="C117" s="22" t="inlineStr">
        <is>
          <t>Compensación que DEBERÍA recibir (base + las 2 alzas de Nick)</t>
        </is>
      </c>
      <c r="D117" s="19" t="n">
        <v>1552353</v>
      </c>
      <c r="E117" s="19" t="n">
        <v>1552353</v>
      </c>
      <c r="F117" s="19" t="n">
        <v>1552353</v>
      </c>
      <c r="G117" s="19" t="n">
        <v>1552353</v>
      </c>
      <c r="H117" s="19" t="n">
        <v>1552353</v>
      </c>
      <c r="I117" s="19" t="n">
        <v>1552353</v>
      </c>
      <c r="J117" s="19" t="n">
        <v>1552353</v>
      </c>
      <c r="K117" s="16" t="n">
        <v>776176</v>
      </c>
      <c r="L117" s="16" t="n">
        <v>776177</v>
      </c>
      <c r="M117" s="16" t="n">
        <v>776176</v>
      </c>
      <c r="N117" s="16" t="n">
        <v>776177</v>
      </c>
      <c r="O117" s="16" t="n">
        <v>776176</v>
      </c>
      <c r="P117" s="16" t="n">
        <v>776177</v>
      </c>
      <c r="Q117" s="17" t="n">
        <v>1552353</v>
      </c>
      <c r="R117" s="17" t="n">
        <v>1552353</v>
      </c>
      <c r="S117" s="17" t="n">
        <v>1552353</v>
      </c>
      <c r="T117" s="17" t="n">
        <v>1552353</v>
      </c>
      <c r="U117" s="17" t="n">
        <v>1552353</v>
      </c>
      <c r="V117" s="17" t="n">
        <v>1552353</v>
      </c>
      <c r="W117" s="17" t="n">
        <v>1552353</v>
      </c>
      <c r="X117" s="17" t="n">
        <v>1552353</v>
      </c>
      <c r="Y117" s="17" t="n">
        <v>1552353</v>
      </c>
      <c r="Z117" s="17" t="n">
        <v>1552353</v>
      </c>
      <c r="AA117" s="17" t="n">
        <v>1552353</v>
      </c>
      <c r="AB117" s="17" t="n">
        <v>1552353</v>
      </c>
      <c r="AC117" s="17" t="n">
        <v>1552353</v>
      </c>
      <c r="AD117" s="17" t="n">
        <v>1552353</v>
      </c>
    </row>
    <row r="118" outlineLevel="2">
      <c r="B118" s="13" t="inlineStr"/>
      <c r="C118" s="22" t="inlineStr">
        <is>
          <t>Compensación real recibida (excl. barco y distribuciones)</t>
        </is>
      </c>
      <c r="D118" s="19" t="n">
        <v>0</v>
      </c>
      <c r="E118" s="19" t="n">
        <v>0</v>
      </c>
      <c r="F118" s="19" t="n">
        <v>0</v>
      </c>
      <c r="G118" s="19" t="n">
        <v>3000000</v>
      </c>
      <c r="H118" s="19" t="n">
        <v>2600000</v>
      </c>
      <c r="I118" s="19" t="n">
        <v>0</v>
      </c>
      <c r="J118" s="19" t="n">
        <v>1300000</v>
      </c>
      <c r="K118" s="16" t="n">
        <v>492857</v>
      </c>
      <c r="L118" s="16" t="n">
        <v>492857</v>
      </c>
      <c r="M118" s="16" t="n">
        <v>492857</v>
      </c>
      <c r="N118" s="16" t="n">
        <v>492857</v>
      </c>
      <c r="O118" s="16" t="n">
        <v>492857</v>
      </c>
      <c r="P118" s="16" t="n">
        <v>492857</v>
      </c>
      <c r="Q118" s="17" t="n">
        <v>985714</v>
      </c>
      <c r="R118" s="17" t="n">
        <v>985714</v>
      </c>
      <c r="S118" s="17" t="n">
        <v>985714</v>
      </c>
      <c r="T118" s="17" t="n">
        <v>985714</v>
      </c>
      <c r="U118" s="17" t="n">
        <v>985714</v>
      </c>
      <c r="V118" s="17" t="n">
        <v>985714</v>
      </c>
      <c r="W118" s="17" t="n">
        <v>985714</v>
      </c>
      <c r="X118" s="17" t="n">
        <v>985714</v>
      </c>
      <c r="Y118" s="17" t="n">
        <v>985714</v>
      </c>
      <c r="Z118" s="17" t="n">
        <v>985714</v>
      </c>
      <c r="AA118" s="17" t="n">
        <v>985714</v>
      </c>
      <c r="AB118" s="17" t="n">
        <v>985714</v>
      </c>
      <c r="AC118" s="17" t="n">
        <v>985714</v>
      </c>
      <c r="AD118" s="17" t="n">
        <v>985714</v>
      </c>
    </row>
    <row r="119">
      <c r="B119" s="20" t="inlineStr"/>
      <c r="C119" s="20" t="inlineStr">
        <is>
          <t xml:space="preserve">  Brecha del período (debería − real)</t>
        </is>
      </c>
      <c r="D119" s="34">
        <f>D117-D118</f>
        <v/>
      </c>
      <c r="E119" s="34">
        <f>E117-E118</f>
        <v/>
      </c>
      <c r="F119" s="34">
        <f>F117-F118</f>
        <v/>
      </c>
      <c r="G119" s="34">
        <f>G117-G118</f>
        <v/>
      </c>
      <c r="H119" s="34">
        <f>H117-H118</f>
        <v/>
      </c>
      <c r="I119" s="34">
        <f>I117-I118</f>
        <v/>
      </c>
      <c r="J119" s="34">
        <f>J117-J118</f>
        <v/>
      </c>
      <c r="K119" s="34">
        <f>K117-K118</f>
        <v/>
      </c>
      <c r="L119" s="34">
        <f>L117-L118</f>
        <v/>
      </c>
      <c r="M119" s="34">
        <f>M117-M118</f>
        <v/>
      </c>
      <c r="N119" s="34">
        <f>N117-N118</f>
        <v/>
      </c>
      <c r="O119" s="34">
        <f>O117-O118</f>
        <v/>
      </c>
      <c r="P119" s="34">
        <f>P117-P118</f>
        <v/>
      </c>
      <c r="Q119" s="34">
        <f>Q117-Q118</f>
        <v/>
      </c>
      <c r="R119" s="34">
        <f>R117-R118</f>
        <v/>
      </c>
      <c r="S119" s="34">
        <f>S117-S118</f>
        <v/>
      </c>
      <c r="T119" s="34">
        <f>T117-T118</f>
        <v/>
      </c>
      <c r="U119" s="34">
        <f>U117-U118</f>
        <v/>
      </c>
      <c r="V119" s="34">
        <f>V117-V118</f>
        <v/>
      </c>
      <c r="W119" s="34">
        <f>W117-W118</f>
        <v/>
      </c>
      <c r="X119" s="34">
        <f>X117-X118</f>
        <v/>
      </c>
      <c r="Y119" s="34">
        <f>Y117-Y118</f>
        <v/>
      </c>
      <c r="Z119" s="34">
        <f>Z117-Z118</f>
        <v/>
      </c>
      <c r="AA119" s="34">
        <f>AA117-AA118</f>
        <v/>
      </c>
      <c r="AB119" s="34">
        <f>AB117-AB118</f>
        <v/>
      </c>
      <c r="AC119" s="34">
        <f>AC117-AC118</f>
        <v/>
      </c>
      <c r="AD119" s="34">
        <f>AD117-AD118</f>
        <v/>
      </c>
    </row>
    <row r="120">
      <c r="B120" s="20" t="inlineStr"/>
      <c r="C120" s="20" t="inlineStr">
        <is>
          <t xml:space="preserve">  ACUMULADO adeudado a Kevin (arrastre + suma corrida de brechas)</t>
        </is>
      </c>
      <c r="D120" s="34">
        <f>D116+D119</f>
        <v/>
      </c>
      <c r="E120" s="34">
        <f>D120+E119</f>
        <v/>
      </c>
      <c r="F120" s="34">
        <f>E120+F119</f>
        <v/>
      </c>
      <c r="G120" s="34">
        <f>F120+G119</f>
        <v/>
      </c>
      <c r="H120" s="34">
        <f>G120+H119</f>
        <v/>
      </c>
      <c r="I120" s="34">
        <f>H120+I119</f>
        <v/>
      </c>
      <c r="J120" s="34">
        <f>I120+J119</f>
        <v/>
      </c>
      <c r="K120" s="34">
        <f>J120+K119</f>
        <v/>
      </c>
      <c r="L120" s="34">
        <f>K120+L119</f>
        <v/>
      </c>
      <c r="M120" s="34">
        <f>L120+M119</f>
        <v/>
      </c>
      <c r="N120" s="34">
        <f>M120+N119</f>
        <v/>
      </c>
      <c r="O120" s="34">
        <f>N120+O119</f>
        <v/>
      </c>
      <c r="P120" s="34">
        <f>O120+P119</f>
        <v/>
      </c>
      <c r="Q120" s="34">
        <f>P120+Q119</f>
        <v/>
      </c>
      <c r="R120" s="34">
        <f>Q120+R119</f>
        <v/>
      </c>
      <c r="S120" s="34">
        <f>R120+S119</f>
        <v/>
      </c>
      <c r="T120" s="34">
        <f>S120+T119</f>
        <v/>
      </c>
      <c r="U120" s="34">
        <f>T120+U119</f>
        <v/>
      </c>
      <c r="V120" s="34">
        <f>U120+V119</f>
        <v/>
      </c>
      <c r="W120" s="34">
        <f>V120+W119</f>
        <v/>
      </c>
      <c r="X120" s="34">
        <f>W120+X119</f>
        <v/>
      </c>
      <c r="Y120" s="34">
        <f>X120+Y119</f>
        <v/>
      </c>
      <c r="Z120" s="34">
        <f>Y120+Z119</f>
        <v/>
      </c>
      <c r="AA120" s="34">
        <f>Z120+AA119</f>
        <v/>
      </c>
      <c r="AB120" s="34">
        <f>AA120+AB119</f>
        <v/>
      </c>
      <c r="AC120" s="34">
        <f>AB120+AC119</f>
        <v/>
      </c>
      <c r="AD120" s="34">
        <f>AC120+AD119</f>
        <v/>
      </c>
    </row>
    <row r="121" outlineLevel="1">
      <c r="C121" s="8" t="inlineStr">
        <is>
          <t>Acumulado a Jul-2026 (real): 8,976,900. A Dic-2026: 11,810,094. Sigue acumulando en 2027 a la tasa post-alza-2 (aprobado por Kevin 2026-08-29).</t>
        </is>
      </c>
    </row>
    <row r="122">
      <c r="B122" s="26" t="inlineStr"/>
      <c r="C122" s="26" t="inlineStr">
        <is>
          <t>4C. Distribución de utilidades — Kevin vs. Nick (acumulado histórico) — Libro 2</t>
        </is>
      </c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</row>
    <row r="123" outlineLevel="2">
      <c r="B123" s="13" t="inlineStr"/>
      <c r="C123" s="22" t="inlineStr">
        <is>
          <t>Kevin acumulado (cta 5255, 2023-2025 — estático)</t>
        </is>
      </c>
      <c r="D123" s="19" t="n">
        <v>46081000</v>
      </c>
      <c r="E123" s="19" t="n">
        <v>46081000</v>
      </c>
      <c r="F123" s="19" t="n">
        <v>46081000</v>
      </c>
      <c r="G123" s="19" t="n">
        <v>46081000</v>
      </c>
      <c r="H123" s="19" t="n">
        <v>46081000</v>
      </c>
      <c r="I123" s="19" t="n">
        <v>46081000</v>
      </c>
      <c r="J123" s="19" t="n">
        <v>46081000</v>
      </c>
      <c r="K123" s="16" t="n">
        <v>23040500</v>
      </c>
      <c r="L123" s="16" t="n">
        <v>23040500</v>
      </c>
      <c r="M123" s="16" t="n">
        <v>23040500</v>
      </c>
      <c r="N123" s="16" t="n">
        <v>23040500</v>
      </c>
      <c r="O123" s="16" t="n">
        <v>23040500</v>
      </c>
      <c r="P123" s="16" t="n">
        <v>23040500</v>
      </c>
      <c r="Q123" s="17" t="n">
        <v>46081000</v>
      </c>
      <c r="R123" s="17" t="n">
        <v>46081000</v>
      </c>
      <c r="S123" s="17" t="n">
        <v>46081000</v>
      </c>
      <c r="T123" s="17" t="n">
        <v>46081000</v>
      </c>
      <c r="U123" s="17" t="n">
        <v>46081000</v>
      </c>
      <c r="V123" s="17" t="n">
        <v>46081000</v>
      </c>
      <c r="W123" s="17" t="n">
        <v>46081000</v>
      </c>
      <c r="X123" s="17" t="n">
        <v>46081000</v>
      </c>
      <c r="Y123" s="17" t="n">
        <v>46081000</v>
      </c>
      <c r="Z123" s="17" t="n">
        <v>46081000</v>
      </c>
      <c r="AA123" s="17" t="n">
        <v>46081000</v>
      </c>
      <c r="AB123" s="17" t="n">
        <v>46081000</v>
      </c>
      <c r="AC123" s="17" t="n">
        <v>46081000</v>
      </c>
      <c r="AD123" s="17" t="n">
        <v>46081000</v>
      </c>
    </row>
    <row r="124" outlineLevel="2">
      <c r="B124" s="13" t="inlineStr"/>
      <c r="C124" s="22" t="inlineStr">
        <is>
          <t>Nick acumulado (cta 5255, 2023-2025 — estático)</t>
        </is>
      </c>
      <c r="D124" s="19" t="n">
        <v>41081000</v>
      </c>
      <c r="E124" s="19" t="n">
        <v>41081000</v>
      </c>
      <c r="F124" s="19" t="n">
        <v>41081000</v>
      </c>
      <c r="G124" s="19" t="n">
        <v>41081000</v>
      </c>
      <c r="H124" s="19" t="n">
        <v>41081000</v>
      </c>
      <c r="I124" s="19" t="n">
        <v>41081000</v>
      </c>
      <c r="J124" s="19" t="n">
        <v>41081000</v>
      </c>
      <c r="K124" s="16" t="n">
        <v>20540500</v>
      </c>
      <c r="L124" s="16" t="n">
        <v>20540500</v>
      </c>
      <c r="M124" s="16" t="n">
        <v>20540500</v>
      </c>
      <c r="N124" s="16" t="n">
        <v>20540500</v>
      </c>
      <c r="O124" s="16" t="n">
        <v>20540500</v>
      </c>
      <c r="P124" s="16" t="n">
        <v>20540500</v>
      </c>
      <c r="Q124" s="17" t="n">
        <v>41081000</v>
      </c>
      <c r="R124" s="17" t="n">
        <v>41081000</v>
      </c>
      <c r="S124" s="17" t="n">
        <v>41081000</v>
      </c>
      <c r="T124" s="17" t="n">
        <v>41081000</v>
      </c>
      <c r="U124" s="17" t="n">
        <v>41081000</v>
      </c>
      <c r="V124" s="17" t="n">
        <v>41081000</v>
      </c>
      <c r="W124" s="17" t="n">
        <v>41081000</v>
      </c>
      <c r="X124" s="17" t="n">
        <v>41081000</v>
      </c>
      <c r="Y124" s="17" t="n">
        <v>41081000</v>
      </c>
      <c r="Z124" s="17" t="n">
        <v>41081000</v>
      </c>
      <c r="AA124" s="17" t="n">
        <v>41081000</v>
      </c>
      <c r="AB124" s="17" t="n">
        <v>41081000</v>
      </c>
      <c r="AC124" s="17" t="n">
        <v>41081000</v>
      </c>
      <c r="AD124" s="17" t="n">
        <v>41081000</v>
      </c>
    </row>
    <row r="125">
      <c r="B125" s="20" t="inlineStr"/>
      <c r="C125" s="20" t="inlineStr">
        <is>
          <t xml:space="preserve">  Diferencia (Kevin − Nick)</t>
        </is>
      </c>
      <c r="D125" s="21">
        <f>D123-D124</f>
        <v/>
      </c>
      <c r="E125" s="21">
        <f>E123-E124</f>
        <v/>
      </c>
      <c r="F125" s="21">
        <f>F123-F124</f>
        <v/>
      </c>
      <c r="G125" s="21">
        <f>G123-G124</f>
        <v/>
      </c>
      <c r="H125" s="21">
        <f>H123-H124</f>
        <v/>
      </c>
      <c r="I125" s="21">
        <f>I123-I124</f>
        <v/>
      </c>
      <c r="J125" s="21">
        <f>J123-J124</f>
        <v/>
      </c>
      <c r="K125" s="21">
        <f>K123-K124</f>
        <v/>
      </c>
      <c r="L125" s="21">
        <f>L123-L124</f>
        <v/>
      </c>
      <c r="M125" s="21">
        <f>M123-M124</f>
        <v/>
      </c>
      <c r="N125" s="21">
        <f>N123-N124</f>
        <v/>
      </c>
      <c r="O125" s="21">
        <f>O123-O124</f>
        <v/>
      </c>
      <c r="P125" s="21">
        <f>P123-P124</f>
        <v/>
      </c>
      <c r="Q125" s="21">
        <f>Q123-Q124</f>
        <v/>
      </c>
      <c r="R125" s="21">
        <f>R123-R124</f>
        <v/>
      </c>
      <c r="S125" s="21">
        <f>S123-S124</f>
        <v/>
      </c>
      <c r="T125" s="21">
        <f>T123-T124</f>
        <v/>
      </c>
      <c r="U125" s="21">
        <f>U123-U124</f>
        <v/>
      </c>
      <c r="V125" s="21">
        <f>V123-V124</f>
        <v/>
      </c>
      <c r="W125" s="21">
        <f>W123-W124</f>
        <v/>
      </c>
      <c r="X125" s="21">
        <f>X123-X124</f>
        <v/>
      </c>
      <c r="Y125" s="21">
        <f>Y123-Y124</f>
        <v/>
      </c>
      <c r="Z125" s="21">
        <f>Z123-Z124</f>
        <v/>
      </c>
      <c r="AA125" s="21">
        <f>AA123-AA124</f>
        <v/>
      </c>
      <c r="AB125" s="21">
        <f>AB123-AB124</f>
        <v/>
      </c>
      <c r="AC125" s="21">
        <f>AC123-AC124</f>
        <v/>
      </c>
      <c r="AD125" s="21">
        <f>AD123-AD124</f>
        <v/>
      </c>
    </row>
    <row r="126" outlineLevel="1">
      <c r="C126" s="8" t="inlineStr">
        <is>
          <t>46,081,000 + 41,081,000 = 87,162,000 (calce exacto con cta 131015). 5,000,000 a favor de Kevin por un solo desembolso 2023-07-31. Kevin: está bien así — informativo, no una cuenta por cobrar. §4C CERRADA.</t>
        </is>
      </c>
    </row>
    <row r="127">
      <c r="B127" s="26" t="inlineStr"/>
      <c r="C127" s="26" t="inlineStr">
        <is>
          <t>4D. Resumen de Posición entre Socios</t>
        </is>
      </c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</row>
    <row r="128" outlineLevel="2">
      <c r="B128" s="13" t="inlineStr"/>
      <c r="C128" s="22" t="inlineStr">
        <is>
          <t>Libro 1 — comp que LA EMPRESA le debe a Kevin (no Nick)</t>
        </is>
      </c>
      <c r="D128" s="15" t="n"/>
      <c r="E128" s="15" t="n"/>
      <c r="F128" s="15" t="n"/>
      <c r="G128" s="15" t="n"/>
      <c r="H128" s="15" t="n"/>
      <c r="I128" s="15" t="n"/>
      <c r="J128" s="19" t="n">
        <v>8976900</v>
      </c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</row>
    <row r="129" outlineLevel="2">
      <c r="B129" s="13" t="inlineStr"/>
      <c r="C129" s="22" t="inlineStr">
        <is>
          <t>Libro 2 — ventaja de Kevin sobre Nick en distribuciones</t>
        </is>
      </c>
      <c r="D129" s="19" t="n">
        <v>5000000</v>
      </c>
      <c r="E129" s="19" t="n">
        <v>5000000</v>
      </c>
      <c r="F129" s="19" t="n">
        <v>5000000</v>
      </c>
      <c r="G129" s="19" t="n">
        <v>5000000</v>
      </c>
      <c r="H129" s="19" t="n">
        <v>5000000</v>
      </c>
      <c r="I129" s="19" t="n">
        <v>5000000</v>
      </c>
      <c r="J129" s="19" t="n">
        <v>5000000</v>
      </c>
      <c r="K129" s="16" t="n">
        <v>2500000</v>
      </c>
      <c r="L129" s="16" t="n">
        <v>2500000</v>
      </c>
      <c r="M129" s="16" t="n">
        <v>2500000</v>
      </c>
      <c r="N129" s="16" t="n">
        <v>2500000</v>
      </c>
      <c r="O129" s="16" t="n">
        <v>2500000</v>
      </c>
      <c r="P129" s="16" t="n">
        <v>2500000</v>
      </c>
      <c r="Q129" s="17" t="n">
        <v>5000000</v>
      </c>
      <c r="R129" s="17" t="n">
        <v>5000000</v>
      </c>
      <c r="S129" s="17" t="n">
        <v>5000000</v>
      </c>
      <c r="T129" s="17" t="n">
        <v>5000000</v>
      </c>
      <c r="U129" s="17" t="n">
        <v>5000000</v>
      </c>
      <c r="V129" s="17" t="n">
        <v>5000000</v>
      </c>
      <c r="W129" s="17" t="n">
        <v>5000000</v>
      </c>
      <c r="X129" s="17" t="n">
        <v>5000000</v>
      </c>
      <c r="Y129" s="17" t="n">
        <v>5000000</v>
      </c>
      <c r="Z129" s="17" t="n">
        <v>5000000</v>
      </c>
      <c r="AA129" s="17" t="n">
        <v>5000000</v>
      </c>
      <c r="AB129" s="17" t="n">
        <v>5000000</v>
      </c>
      <c r="AC129" s="17" t="n">
        <v>5000000</v>
      </c>
      <c r="AD129" s="17" t="n">
        <v>5000000</v>
      </c>
    </row>
    <row r="130" outlineLevel="1">
      <c r="C130" s="8" t="inlineStr">
        <is>
          <t>Separados a propósito: 'cuánto me debe la empresa' (Libro 1) es distinto de 'cómo estamos Kevin y Nick' (Libro 2). No los netees sin decidir la pregunta.</t>
        </is>
      </c>
    </row>
    <row r="131">
      <c r="B131" s="26" t="inlineStr"/>
      <c r="C131" s="26" t="inlineStr">
        <is>
          <t>4E. Contingencias (de la Vista Sombra del prototipo — exposiciones vigentes, NO aditivas)</t>
        </is>
      </c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</row>
    <row r="132" outlineLevel="1">
      <c r="C132" s="12" t="inlineStr">
        <is>
          <t>Exposiciones tributarias / legales vigentes</t>
        </is>
      </c>
    </row>
    <row r="133" outlineLevel="2">
      <c r="B133" s="13" t="inlineStr"/>
      <c r="C133" s="14" t="inlineStr">
        <is>
          <t>Contingencia OTA — autorretención de IVA no aplicada (Art. 437-2, GYG/Viator neto)</t>
        </is>
      </c>
      <c r="D133" s="19" t="n">
        <v>-3000000</v>
      </c>
      <c r="E133" s="19" t="n">
        <v>-3000000</v>
      </c>
      <c r="F133" s="19" t="n">
        <v>-3000000</v>
      </c>
      <c r="G133" s="19" t="n">
        <v>-3000000</v>
      </c>
      <c r="H133" s="19" t="n">
        <v>-3000000</v>
      </c>
      <c r="I133" s="19" t="n">
        <v>-3000000</v>
      </c>
      <c r="J133" s="19" t="n">
        <v>-3000000</v>
      </c>
      <c r="K133" s="16" t="n">
        <v>-1500000</v>
      </c>
      <c r="L133" s="16" t="n">
        <v>-1500000</v>
      </c>
      <c r="M133" s="16" t="n">
        <v>-1500000</v>
      </c>
      <c r="N133" s="16" t="n">
        <v>-1500000</v>
      </c>
      <c r="O133" s="16" t="n">
        <v>-1500000</v>
      </c>
      <c r="P133" s="16" t="n">
        <v>-1500000</v>
      </c>
      <c r="Q133" s="17" t="n">
        <v>-3000000</v>
      </c>
      <c r="R133" s="17" t="n">
        <v>-3000000</v>
      </c>
      <c r="S133" s="17" t="n">
        <v>-3000000</v>
      </c>
      <c r="T133" s="17" t="n">
        <v>-3000000</v>
      </c>
      <c r="U133" s="17" t="n">
        <v>-3000000</v>
      </c>
      <c r="V133" s="17" t="n">
        <v>-3000000</v>
      </c>
      <c r="W133" s="17" t="n">
        <v>-3000000</v>
      </c>
      <c r="X133" s="17" t="n">
        <v>-3000000</v>
      </c>
      <c r="Y133" s="17" t="n">
        <v>-3000000</v>
      </c>
      <c r="Z133" s="17" t="n">
        <v>-3000000</v>
      </c>
      <c r="AA133" s="17" t="n">
        <v>-3000000</v>
      </c>
      <c r="AB133" s="17" t="n">
        <v>-3000000</v>
      </c>
      <c r="AC133" s="17" t="n">
        <v>-3000000</v>
      </c>
      <c r="AD133" s="17" t="n">
        <v>-3000000</v>
      </c>
    </row>
    <row r="134" outlineLevel="2">
      <c r="B134" s="13" t="inlineStr"/>
      <c r="C134" s="14" t="inlineStr">
        <is>
          <t>Exposición IVA — escenario alterno gravado (si se pierde la posición excluida Art. 476)</t>
        </is>
      </c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</row>
    <row r="135" outlineLevel="2">
      <c r="B135" s="13" t="inlineStr"/>
      <c r="C135" s="14" t="inlineStr">
        <is>
          <t>Contingencia laboral / tripulación (prestaciones 'como si' hubiera contrato formal)</t>
        </is>
      </c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</row>
    <row r="136" outlineLevel="1">
      <c r="C136" s="8" t="inlineStr">
        <is>
          <t>Las contingencias son exposiciones vigentes anuales/puntuales — NO las sumes a lo largo de las columnas mensuales. Solo para visibilidad. ABIERTO — preguntar a Edwin: soporte de la igualación Dragon Lady (acta 2026-08-03, Punto I).</t>
        </is>
      </c>
    </row>
    <row r="137" outlineLevel="1">
      <c r="C137" s="8" t="inlineStr">
        <is>
          <t>LEYENDA: Azul = real (fuente en nota de celda) · Cursiva azul = proyección mensual · Cursiva más clara = proyección quincenal · Morado = Vista Sombra · Rojo = brecha detectada.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2026-08-30T01:01:44Z</dcterms:created>
  <dcterms:modified xmlns:dcterms="http://purl.org/dc/terms/" xmlns:xsi="http://www.w3.org/2001/XMLSchema-instance" xsi:type="dcterms:W3CDTF">2026-08-30T01:01:44Z</dcterms:modified>
</cp:coreProperties>
</file>